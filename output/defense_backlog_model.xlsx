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ata" sheetId="2" state="visible" r:id="rId2"/>
    <sheet name="HII" sheetId="3" state="visible" r:id="rId3"/>
    <sheet name="LHX" sheetId="4" state="visible" r:id="rId4"/>
    <sheet name="LMT" sheetId="5" state="visible" r:id="rId5"/>
    <sheet name="NOC" sheetId="6" state="visible" r:id="rId6"/>
    <sheet name="RTX" sheetId="7" state="visible" r:id="rId7"/>
    <sheet name="Bridge" sheetId="8" state="visible" r:id="rId8"/>
    <sheet name="Sensitivity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color rgb="FF0000FF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0" borderId="0" applyAlignment="1" pivotButton="0" quotePrefix="0" xfId="0">
      <alignment horizontal="right"/>
    </xf>
    <xf numFmtId="3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Defense backlog forecast</t>
        </is>
      </c>
    </row>
    <row r="2">
      <c r="A2" t="inlineStr">
        <is>
          <t>Question: does backlog at quarter end forecast the next quarters' revenue better than last year's revenue does?</t>
        </is>
      </c>
    </row>
    <row r="3"/>
    <row r="4">
      <c r="A4" s="1" t="inlineStr">
        <is>
          <t>Method</t>
        </is>
      </c>
    </row>
    <row r="5">
      <c r="A5" t="inlineStr">
        <is>
          <t>1. Backlog is XBRL remaining performance obligations (RPO), first reported in each 10-Q or 10-K.</t>
        </is>
      </c>
    </row>
    <row r="6">
      <c r="A6" t="inlineStr">
        <is>
          <t>2. Revenue is the first-reported three-month figure; Q4 is the full year less nine months.</t>
        </is>
      </c>
    </row>
    <row r="7">
      <c r="A7" t="inlineStr">
        <is>
          <t>3. Backlog model: backlog times the average conversion rate seen one and two years earlier.</t>
        </is>
      </c>
    </row>
    <row r="8">
      <c r="A8" t="inlineStr">
        <is>
          <t>4. Baselines: same quarter last year (H1) or trailing four quarters (H4), each with and without drift.</t>
        </is>
      </c>
    </row>
    <row r="9">
      <c r="A9" t="inlineStr">
        <is>
          <t>5. Every forecast uses only figures known at its origin quarter; APE scores it against reported revenue.</t>
        </is>
      </c>
    </row>
    <row r="10"/>
    <row r="11">
      <c r="A11" s="1" t="inlineStr">
        <is>
          <t>Colour key</t>
        </is>
      </c>
    </row>
    <row r="12">
      <c r="A12" s="2" t="inlineStr">
        <is>
          <t>Blue figures are typed inputs from SEC filings. Black figures are formulas.</t>
        </is>
      </c>
    </row>
    <row r="13">
      <c r="A13" t="inlineStr">
        <is>
          <t>Dollars are in $M (USD / 1,000,000). Ratios have two decimals; percents one.</t>
        </is>
      </c>
    </row>
    <row r="14"/>
    <row r="15">
      <c r="A15" t="inlineStr">
        <is>
          <t>Source: SEC EDGAR XBRL, first reported, as of 2026-10-13. https://data.sec.gov/api/xbrl/companyfacts/</t>
        </is>
      </c>
    </row>
    <row r="16">
      <c r="A16" t="inlineStr">
        <is>
          <t>Note: previewers such as Quick Look or GitHub show formula cells blank until Excel calculates them.</t>
        </is>
      </c>
    </row>
    <row r="17">
      <c r="A17" t="inlineStr">
        <is>
          <t>Built by Rishabb Shankar, https://rshankar.dev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8" customWidth="1" min="4" max="4"/>
    <col width="22" customWidth="1" min="5" max="5"/>
    <col width="13" customWidth="1" min="6" max="6"/>
    <col width="18" customWidth="1" min="7" max="7"/>
    <col width="14" customWidth="1" min="8" max="8"/>
    <col width="50" customWidth="1" min="9" max="9"/>
    <col width="22" customWidth="1" min="10" max="10"/>
    <col width="13" customWidth="1" min="11" max="11"/>
  </cols>
  <sheetData>
    <row r="1">
      <c r="A1" s="1" t="inlineStr">
        <is>
          <t>ticker</t>
        </is>
      </c>
      <c r="B1" s="1" t="inlineStr">
        <is>
          <t>quarter</t>
        </is>
      </c>
      <c r="C1" s="1" t="inlineStr">
        <is>
          <t>period_end</t>
        </is>
      </c>
      <c r="D1" s="1" t="inlineStr">
        <is>
          <t>backlog_usd</t>
        </is>
      </c>
      <c r="E1" s="1" t="inlineStr">
        <is>
          <t>backlog_accn</t>
        </is>
      </c>
      <c r="F1" s="1" t="inlineStr">
        <is>
          <t>backlog_filed</t>
        </is>
      </c>
      <c r="G1" s="1" t="inlineStr">
        <is>
          <t>revenue_usd</t>
        </is>
      </c>
      <c r="H1" s="1" t="inlineStr">
        <is>
          <t>revenue_method</t>
        </is>
      </c>
      <c r="I1" s="1" t="inlineStr">
        <is>
          <t>revenue_tag</t>
        </is>
      </c>
      <c r="J1" s="1" t="inlineStr">
        <is>
          <t>revenue_accn</t>
        </is>
      </c>
      <c r="K1" s="1" t="inlineStr">
        <is>
          <t>revenue_filed</t>
        </is>
      </c>
    </row>
    <row r="2">
      <c r="A2" t="inlineStr">
        <is>
          <t>HII</t>
        </is>
      </c>
      <c r="B2" t="inlineStr">
        <is>
          <t>2018Q1</t>
        </is>
      </c>
      <c r="C2" t="inlineStr">
        <is>
          <t>2018-03-31</t>
        </is>
      </c>
      <c r="D2" s="3" t="n">
        <v>22100000000</v>
      </c>
      <c r="E2" t="inlineStr">
        <is>
          <t>0001501585-18-000010</t>
        </is>
      </c>
      <c r="F2" t="inlineStr">
        <is>
          <t>2018-05-03</t>
        </is>
      </c>
      <c r="G2" s="3" t="n">
        <v>1874000000</v>
      </c>
      <c r="H2" t="inlineStr">
        <is>
          <t>reported_3m</t>
        </is>
      </c>
      <c r="I2" t="inlineStr">
        <is>
          <t>Revenues</t>
        </is>
      </c>
      <c r="J2" t="inlineStr">
        <is>
          <t>0001501585-19-000005</t>
        </is>
      </c>
      <c r="K2" t="inlineStr">
        <is>
          <t>2019-02-14</t>
        </is>
      </c>
    </row>
    <row r="3">
      <c r="A3" t="inlineStr">
        <is>
          <t>HII</t>
        </is>
      </c>
      <c r="B3" t="inlineStr">
        <is>
          <t>2018Q2</t>
        </is>
      </c>
      <c r="C3" t="inlineStr">
        <is>
          <t>2018-06-30</t>
        </is>
      </c>
      <c r="D3" s="3" t="n">
        <v>21200000000</v>
      </c>
      <c r="E3" t="inlineStr">
        <is>
          <t>0001501585-18-000027</t>
        </is>
      </c>
      <c r="F3" t="inlineStr">
        <is>
          <t>2018-08-02</t>
        </is>
      </c>
      <c r="G3" s="3" t="n">
        <v>2020000000</v>
      </c>
      <c r="H3" t="inlineStr">
        <is>
          <t>reported_3m</t>
        </is>
      </c>
      <c r="I3" t="inlineStr">
        <is>
          <t>Revenues</t>
        </is>
      </c>
      <c r="J3" t="inlineStr">
        <is>
          <t>0001501585-19-000005</t>
        </is>
      </c>
      <c r="K3" t="inlineStr">
        <is>
          <t>2019-02-14</t>
        </is>
      </c>
    </row>
    <row r="4">
      <c r="A4" t="inlineStr">
        <is>
          <t>HII</t>
        </is>
      </c>
      <c r="B4" t="inlineStr">
        <is>
          <t>2018Q3</t>
        </is>
      </c>
      <c r="C4" t="inlineStr">
        <is>
          <t>2018-09-30</t>
        </is>
      </c>
      <c r="D4" s="3" t="n">
        <v>21900000000</v>
      </c>
      <c r="E4" t="inlineStr">
        <is>
          <t>0001501585-18-000035</t>
        </is>
      </c>
      <c r="F4" t="inlineStr">
        <is>
          <t>2018-11-08</t>
        </is>
      </c>
      <c r="G4" s="3" t="n">
        <v>2083000000</v>
      </c>
      <c r="H4" t="inlineStr">
        <is>
          <t>reported_3m</t>
        </is>
      </c>
      <c r="I4" t="inlineStr">
        <is>
          <t>Revenues</t>
        </is>
      </c>
      <c r="J4" t="inlineStr">
        <is>
          <t>0001501585-18-000035</t>
        </is>
      </c>
      <c r="K4" t="inlineStr">
        <is>
          <t>2018-11-08</t>
        </is>
      </c>
    </row>
    <row r="5">
      <c r="A5" t="inlineStr">
        <is>
          <t>HII</t>
        </is>
      </c>
      <c r="B5" t="inlineStr">
        <is>
          <t>2018Q4</t>
        </is>
      </c>
      <c r="C5" t="inlineStr">
        <is>
          <t>2018-12-31</t>
        </is>
      </c>
      <c r="D5" s="3" t="n">
        <v>23000000000</v>
      </c>
      <c r="E5" t="inlineStr">
        <is>
          <t>0001501585-19-000005</t>
        </is>
      </c>
      <c r="F5" t="inlineStr">
        <is>
          <t>2019-02-14</t>
        </is>
      </c>
      <c r="G5" s="3" t="n">
        <v>2199000000</v>
      </c>
      <c r="H5" t="inlineStr">
        <is>
          <t>reported_3m</t>
        </is>
      </c>
      <c r="I5" t="inlineStr">
        <is>
          <t>Revenues</t>
        </is>
      </c>
      <c r="J5" t="inlineStr">
        <is>
          <t>0001501585-19-000005</t>
        </is>
      </c>
      <c r="K5" t="inlineStr">
        <is>
          <t>2019-02-14</t>
        </is>
      </c>
    </row>
    <row r="6">
      <c r="A6" t="inlineStr">
        <is>
          <t>HII</t>
        </is>
      </c>
      <c r="B6" t="inlineStr">
        <is>
          <t>2019Q1</t>
        </is>
      </c>
      <c r="C6" t="inlineStr">
        <is>
          <t>2019-03-31</t>
        </is>
      </c>
      <c r="D6" s="3" t="n">
        <v>40600000000</v>
      </c>
      <c r="E6" t="inlineStr">
        <is>
          <t>0001501585-19-000011</t>
        </is>
      </c>
      <c r="F6" t="inlineStr">
        <is>
          <t>2019-05-02</t>
        </is>
      </c>
      <c r="G6" s="3" t="n">
        <v>2080000000</v>
      </c>
      <c r="H6" t="inlineStr">
        <is>
          <t>reported_3m</t>
        </is>
      </c>
      <c r="I6" t="inlineStr">
        <is>
          <t>Revenues</t>
        </is>
      </c>
      <c r="J6" t="inlineStr">
        <is>
          <t>0001501585-19-000011</t>
        </is>
      </c>
      <c r="K6" t="inlineStr">
        <is>
          <t>2019-05-02</t>
        </is>
      </c>
    </row>
    <row r="7">
      <c r="A7" t="inlineStr">
        <is>
          <t>HII</t>
        </is>
      </c>
      <c r="B7" t="inlineStr">
        <is>
          <t>2019Q2</t>
        </is>
      </c>
      <c r="C7" t="inlineStr">
        <is>
          <t>2019-06-30</t>
        </is>
      </c>
      <c r="D7" s="3" t="n">
        <v>39400000000</v>
      </c>
      <c r="E7" t="inlineStr">
        <is>
          <t>0001501585-19-000021</t>
        </is>
      </c>
      <c r="F7" t="inlineStr">
        <is>
          <t>2019-08-01</t>
        </is>
      </c>
      <c r="G7" s="3" t="n">
        <v>2188000000</v>
      </c>
      <c r="H7" t="inlineStr">
        <is>
          <t>reported_3m</t>
        </is>
      </c>
      <c r="I7" t="inlineStr">
        <is>
          <t>Revenues</t>
        </is>
      </c>
      <c r="J7" t="inlineStr">
        <is>
          <t>0001501585-19-000021</t>
        </is>
      </c>
      <c r="K7" t="inlineStr">
        <is>
          <t>2019-08-01</t>
        </is>
      </c>
    </row>
    <row r="8">
      <c r="A8" t="inlineStr">
        <is>
          <t>HII</t>
        </is>
      </c>
      <c r="B8" t="inlineStr">
        <is>
          <t>2019Q3</t>
        </is>
      </c>
      <c r="C8" t="inlineStr">
        <is>
          <t>2019-09-30</t>
        </is>
      </c>
      <c r="D8" s="3" t="n">
        <v>39200000000</v>
      </c>
      <c r="E8" t="inlineStr">
        <is>
          <t>0001501585-19-000026</t>
        </is>
      </c>
      <c r="F8" t="inlineStr">
        <is>
          <t>2019-11-07</t>
        </is>
      </c>
      <c r="G8" s="3" t="n">
        <v>2219000000</v>
      </c>
      <c r="H8" t="inlineStr">
        <is>
          <t>reported_3m</t>
        </is>
      </c>
      <c r="I8" t="inlineStr">
        <is>
          <t>Revenues</t>
        </is>
      </c>
      <c r="J8" t="inlineStr">
        <is>
          <t>0001501585-19-000026</t>
        </is>
      </c>
      <c r="K8" t="inlineStr">
        <is>
          <t>2019-11-07</t>
        </is>
      </c>
    </row>
    <row r="9">
      <c r="A9" t="inlineStr">
        <is>
          <t>HII</t>
        </is>
      </c>
      <c r="B9" t="inlineStr">
        <is>
          <t>2019Q4</t>
        </is>
      </c>
      <c r="C9" t="inlineStr">
        <is>
          <t>2019-12-31</t>
        </is>
      </c>
      <c r="D9" s="3" t="n">
        <v>46500000000</v>
      </c>
      <c r="E9" t="inlineStr">
        <is>
          <t>0001501585-20-000011</t>
        </is>
      </c>
      <c r="F9" t="inlineStr">
        <is>
          <t>2020-02-13</t>
        </is>
      </c>
      <c r="G9" s="3" t="n">
        <v>2412000000</v>
      </c>
      <c r="H9" t="inlineStr">
        <is>
          <t>reported_3m</t>
        </is>
      </c>
      <c r="I9" t="inlineStr">
        <is>
          <t>Revenues</t>
        </is>
      </c>
      <c r="J9" t="inlineStr">
        <is>
          <t>0001501585-20-000011</t>
        </is>
      </c>
      <c r="K9" t="inlineStr">
        <is>
          <t>2020-02-13</t>
        </is>
      </c>
    </row>
    <row r="10">
      <c r="A10" t="inlineStr">
        <is>
          <t>HII</t>
        </is>
      </c>
      <c r="B10" t="inlineStr">
        <is>
          <t>2020Q1</t>
        </is>
      </c>
      <c r="C10" t="inlineStr">
        <is>
          <t>2020-03-31</t>
        </is>
      </c>
      <c r="D10" s="3" t="n">
        <v>45200000000</v>
      </c>
      <c r="E10" t="inlineStr">
        <is>
          <t>0001501585-20-000019</t>
        </is>
      </c>
      <c r="F10" t="inlineStr">
        <is>
          <t>2020-05-07</t>
        </is>
      </c>
      <c r="G10" s="3" t="n">
        <v>2263000000</v>
      </c>
      <c r="H10" t="inlineStr">
        <is>
          <t>reported_3m</t>
        </is>
      </c>
      <c r="I10" t="inlineStr">
        <is>
          <t>Revenues</t>
        </is>
      </c>
      <c r="J10" t="inlineStr">
        <is>
          <t>0001501585-20-000019</t>
        </is>
      </c>
      <c r="K10" t="inlineStr">
        <is>
          <t>2020-05-07</t>
        </is>
      </c>
    </row>
    <row r="11">
      <c r="A11" t="inlineStr">
        <is>
          <t>HII</t>
        </is>
      </c>
      <c r="B11" t="inlineStr">
        <is>
          <t>2020Q2</t>
        </is>
      </c>
      <c r="C11" t="inlineStr">
        <is>
          <t>2020-06-30</t>
        </is>
      </c>
      <c r="D11" s="3" t="n">
        <v>46100000000</v>
      </c>
      <c r="E11" t="inlineStr">
        <is>
          <t>0001501585-20-000035</t>
        </is>
      </c>
      <c r="F11" t="inlineStr">
        <is>
          <t>2020-08-06</t>
        </is>
      </c>
      <c r="G11" s="3" t="n">
        <v>2027000000</v>
      </c>
      <c r="H11" t="inlineStr">
        <is>
          <t>reported_3m</t>
        </is>
      </c>
      <c r="I11" t="inlineStr">
        <is>
          <t>Revenues</t>
        </is>
      </c>
      <c r="J11" t="inlineStr">
        <is>
          <t>0001501585-20-000035</t>
        </is>
      </c>
      <c r="K11" t="inlineStr">
        <is>
          <t>2020-08-06</t>
        </is>
      </c>
    </row>
    <row r="12">
      <c r="A12" t="inlineStr">
        <is>
          <t>HII</t>
        </is>
      </c>
      <c r="B12" t="inlineStr">
        <is>
          <t>2020Q3</t>
        </is>
      </c>
      <c r="C12" t="inlineStr">
        <is>
          <t>2020-09-30</t>
        </is>
      </c>
      <c r="D12" s="3" t="n">
        <v>45300000000</v>
      </c>
      <c r="E12" t="inlineStr">
        <is>
          <t>0001501585-20-000042</t>
        </is>
      </c>
      <c r="F12" t="inlineStr">
        <is>
          <t>2020-11-05</t>
        </is>
      </c>
      <c r="G12" s="3" t="n">
        <v>2314000000</v>
      </c>
      <c r="H12" t="inlineStr">
        <is>
          <t>reported_3m</t>
        </is>
      </c>
      <c r="I12" t="inlineStr">
        <is>
          <t>Revenues</t>
        </is>
      </c>
      <c r="J12" t="inlineStr">
        <is>
          <t>0001501585-20-000042</t>
        </is>
      </c>
      <c r="K12" t="inlineStr">
        <is>
          <t>2020-11-05</t>
        </is>
      </c>
    </row>
    <row r="13">
      <c r="A13" t="inlineStr">
        <is>
          <t>HII</t>
        </is>
      </c>
      <c r="B13" t="inlineStr">
        <is>
          <t>2020Q4</t>
        </is>
      </c>
      <c r="C13" t="inlineStr">
        <is>
          <t>2020-12-31</t>
        </is>
      </c>
      <c r="D13" s="3" t="n">
        <v>46000000000</v>
      </c>
      <c r="E13" t="inlineStr">
        <is>
          <t>0001501585-21-000008</t>
        </is>
      </c>
      <c r="F13" t="inlineStr">
        <is>
          <t>2021-02-11</t>
        </is>
      </c>
      <c r="G13" s="3" t="n">
        <v>2757000000</v>
      </c>
      <c r="H13" t="inlineStr">
        <is>
          <t>reported_3m</t>
        </is>
      </c>
      <c r="I13" t="inlineStr">
        <is>
          <t>Revenues</t>
        </is>
      </c>
      <c r="J13" t="inlineStr">
        <is>
          <t>0001501585-21-000008</t>
        </is>
      </c>
      <c r="K13" t="inlineStr">
        <is>
          <t>2021-02-11</t>
        </is>
      </c>
    </row>
    <row r="14">
      <c r="A14" t="inlineStr">
        <is>
          <t>HII</t>
        </is>
      </c>
      <c r="B14" t="inlineStr">
        <is>
          <t>2021Q1</t>
        </is>
      </c>
      <c r="C14" t="inlineStr">
        <is>
          <t>2021-03-31</t>
        </is>
      </c>
      <c r="D14" s="3" t="n">
        <v>48800000000</v>
      </c>
      <c r="E14" t="inlineStr">
        <is>
          <t>0001501585-21-000018</t>
        </is>
      </c>
      <c r="F14" t="inlineStr">
        <is>
          <t>2021-05-06</t>
        </is>
      </c>
      <c r="G14" s="3" t="n">
        <v>2278000000</v>
      </c>
      <c r="H14" t="inlineStr">
        <is>
          <t>reported_3m</t>
        </is>
      </c>
      <c r="I14" t="inlineStr">
        <is>
          <t>Revenues</t>
        </is>
      </c>
      <c r="J14" t="inlineStr">
        <is>
          <t>0001501585-21-000018</t>
        </is>
      </c>
      <c r="K14" t="inlineStr">
        <is>
          <t>2021-05-06</t>
        </is>
      </c>
    </row>
    <row r="15">
      <c r="A15" t="inlineStr">
        <is>
          <t>HII</t>
        </is>
      </c>
      <c r="B15" t="inlineStr">
        <is>
          <t>2021Q2</t>
        </is>
      </c>
      <c r="C15" t="inlineStr">
        <is>
          <t>2021-06-30</t>
        </is>
      </c>
      <c r="D15" s="3" t="n">
        <v>47700000000</v>
      </c>
      <c r="E15" t="inlineStr">
        <is>
          <t>0001501585-21-000029</t>
        </is>
      </c>
      <c r="F15" t="inlineStr">
        <is>
          <t>2021-08-05</t>
        </is>
      </c>
      <c r="G15" s="3" t="n">
        <v>2231000000</v>
      </c>
      <c r="H15" t="inlineStr">
        <is>
          <t>reported_3m</t>
        </is>
      </c>
      <c r="I15" t="inlineStr">
        <is>
          <t>Revenues</t>
        </is>
      </c>
      <c r="J15" t="inlineStr">
        <is>
          <t>0001501585-21-000029</t>
        </is>
      </c>
      <c r="K15" t="inlineStr">
        <is>
          <t>2021-08-05</t>
        </is>
      </c>
    </row>
    <row r="16">
      <c r="A16" t="inlineStr">
        <is>
          <t>HII</t>
        </is>
      </c>
      <c r="B16" t="inlineStr">
        <is>
          <t>2021Q3</t>
        </is>
      </c>
      <c r="C16" t="inlineStr">
        <is>
          <t>2021-09-30</t>
        </is>
      </c>
      <c r="D16" s="3" t="n">
        <v>50100000000</v>
      </c>
      <c r="E16" t="inlineStr">
        <is>
          <t>0001501585-21-000036</t>
        </is>
      </c>
      <c r="F16" t="inlineStr">
        <is>
          <t>2021-11-04</t>
        </is>
      </c>
      <c r="G16" s="3" t="n">
        <v>2338000000</v>
      </c>
      <c r="H16" t="inlineStr">
        <is>
          <t>reported_3m</t>
        </is>
      </c>
      <c r="I16" t="inlineStr">
        <is>
          <t>Revenues</t>
        </is>
      </c>
      <c r="J16" t="inlineStr">
        <is>
          <t>0001501585-21-000036</t>
        </is>
      </c>
      <c r="K16" t="inlineStr">
        <is>
          <t>2021-11-04</t>
        </is>
      </c>
    </row>
    <row r="17">
      <c r="A17" t="inlineStr">
        <is>
          <t>HII</t>
        </is>
      </c>
      <c r="B17" t="inlineStr">
        <is>
          <t>2021Q4</t>
        </is>
      </c>
      <c r="C17" t="inlineStr">
        <is>
          <t>2021-12-31</t>
        </is>
      </c>
      <c r="D17" s="3" t="n">
        <v>48500000000</v>
      </c>
      <c r="E17" t="inlineStr">
        <is>
          <t>0001501585-22-000007</t>
        </is>
      </c>
      <c r="F17" t="inlineStr">
        <is>
          <t>2022-02-10</t>
        </is>
      </c>
      <c r="G17" s="3" t="n">
        <v>2677000000</v>
      </c>
      <c r="H17" t="inlineStr">
        <is>
          <t>fy_minus_9m</t>
        </is>
      </c>
      <c r="I17" t="inlineStr">
        <is>
          <t>Revenues</t>
        </is>
      </c>
      <c r="J17" t="inlineStr">
        <is>
          <t>0001501585-22-000007</t>
        </is>
      </c>
      <c r="K17" t="inlineStr">
        <is>
          <t>2022-02-10</t>
        </is>
      </c>
    </row>
    <row r="18">
      <c r="A18" t="inlineStr">
        <is>
          <t>HII</t>
        </is>
      </c>
      <c r="B18" t="inlineStr">
        <is>
          <t>2022Q1</t>
        </is>
      </c>
      <c r="C18" t="inlineStr">
        <is>
          <t>2022-03-31</t>
        </is>
      </c>
      <c r="D18" s="3" t="n">
        <v>47900000000</v>
      </c>
      <c r="E18" t="inlineStr">
        <is>
          <t>0001501585-22-000013</t>
        </is>
      </c>
      <c r="F18" t="inlineStr">
        <is>
          <t>2022-05-05</t>
        </is>
      </c>
      <c r="G18" s="3" t="n">
        <v>2576000000</v>
      </c>
      <c r="H18" t="inlineStr">
        <is>
          <t>reported_3m</t>
        </is>
      </c>
      <c r="I18" t="inlineStr">
        <is>
          <t>Revenues</t>
        </is>
      </c>
      <c r="J18" t="inlineStr">
        <is>
          <t>0001501585-22-000013</t>
        </is>
      </c>
      <c r="K18" t="inlineStr">
        <is>
          <t>2022-05-05</t>
        </is>
      </c>
    </row>
    <row r="19">
      <c r="A19" t="inlineStr">
        <is>
          <t>HII</t>
        </is>
      </c>
      <c r="B19" t="inlineStr">
        <is>
          <t>2022Q2</t>
        </is>
      </c>
      <c r="C19" t="inlineStr">
        <is>
          <t>2022-06-30</t>
        </is>
      </c>
      <c r="D19" s="3" t="n">
        <v>47200000000</v>
      </c>
      <c r="E19" t="inlineStr">
        <is>
          <t>0001501585-22-000026</t>
        </is>
      </c>
      <c r="F19" t="inlineStr">
        <is>
          <t>2022-08-04</t>
        </is>
      </c>
      <c r="G19" s="3" t="n">
        <v>2662000000</v>
      </c>
      <c r="H19" t="inlineStr">
        <is>
          <t>reported_3m</t>
        </is>
      </c>
      <c r="I19" t="inlineStr">
        <is>
          <t>Revenues</t>
        </is>
      </c>
      <c r="J19" t="inlineStr">
        <is>
          <t>0001501585-22-000026</t>
        </is>
      </c>
      <c r="K19" t="inlineStr">
        <is>
          <t>2022-08-04</t>
        </is>
      </c>
    </row>
    <row r="20">
      <c r="A20" t="inlineStr">
        <is>
          <t>HII</t>
        </is>
      </c>
      <c r="B20" t="inlineStr">
        <is>
          <t>2022Q3</t>
        </is>
      </c>
      <c r="C20" t="inlineStr">
        <is>
          <t>2022-09-30</t>
        </is>
      </c>
      <c r="D20" s="3" t="n">
        <v>46700000000</v>
      </c>
      <c r="E20" t="inlineStr">
        <is>
          <t>0001501585-22-000034</t>
        </is>
      </c>
      <c r="F20" t="inlineStr">
        <is>
          <t>2022-11-03</t>
        </is>
      </c>
      <c r="G20" s="3" t="n">
        <v>2626000000</v>
      </c>
      <c r="H20" t="inlineStr">
        <is>
          <t>reported_3m</t>
        </is>
      </c>
      <c r="I20" t="inlineStr">
        <is>
          <t>Revenues</t>
        </is>
      </c>
      <c r="J20" t="inlineStr">
        <is>
          <t>0001501585-22-000034</t>
        </is>
      </c>
      <c r="K20" t="inlineStr">
        <is>
          <t>2022-11-03</t>
        </is>
      </c>
    </row>
    <row r="21">
      <c r="A21" t="inlineStr">
        <is>
          <t>HII</t>
        </is>
      </c>
      <c r="B21" t="inlineStr">
        <is>
          <t>2022Q4</t>
        </is>
      </c>
      <c r="C21" t="inlineStr">
        <is>
          <t>2022-12-31</t>
        </is>
      </c>
      <c r="D21" s="3" t="n">
        <v>47100000000</v>
      </c>
      <c r="E21" t="inlineStr">
        <is>
          <t>0001501585-23-000010</t>
        </is>
      </c>
      <c r="F21" t="inlineStr">
        <is>
          <t>2023-02-09</t>
        </is>
      </c>
      <c r="G21" s="3" t="n">
        <v>2812000000</v>
      </c>
      <c r="H21" t="inlineStr">
        <is>
          <t>fy_minus_9m</t>
        </is>
      </c>
      <c r="I21" t="inlineStr">
        <is>
          <t>Revenues</t>
        </is>
      </c>
      <c r="J21" t="inlineStr">
        <is>
          <t>0001501585-23-000010</t>
        </is>
      </c>
      <c r="K21" t="inlineStr">
        <is>
          <t>2023-02-09</t>
        </is>
      </c>
    </row>
    <row r="22">
      <c r="A22" t="inlineStr">
        <is>
          <t>HII</t>
        </is>
      </c>
      <c r="B22" t="inlineStr">
        <is>
          <t>2023Q1</t>
        </is>
      </c>
      <c r="C22" t="inlineStr">
        <is>
          <t>2023-03-31</t>
        </is>
      </c>
      <c r="D22" s="3" t="n">
        <v>47000000000</v>
      </c>
      <c r="E22" t="inlineStr">
        <is>
          <t>0001501585-23-000016</t>
        </is>
      </c>
      <c r="F22" t="inlineStr">
        <is>
          <t>2023-05-04</t>
        </is>
      </c>
      <c r="G22" s="3" t="n">
        <v>2674000000</v>
      </c>
      <c r="H22" t="inlineStr">
        <is>
          <t>reported_3m</t>
        </is>
      </c>
      <c r="I22" t="inlineStr">
        <is>
          <t>Revenues</t>
        </is>
      </c>
      <c r="J22" t="inlineStr">
        <is>
          <t>0001501585-23-000016</t>
        </is>
      </c>
      <c r="K22" t="inlineStr">
        <is>
          <t>2023-05-04</t>
        </is>
      </c>
    </row>
    <row r="23">
      <c r="A23" t="inlineStr">
        <is>
          <t>HII</t>
        </is>
      </c>
      <c r="B23" t="inlineStr">
        <is>
          <t>2023Q2</t>
        </is>
      </c>
      <c r="C23" t="inlineStr">
        <is>
          <t>2023-06-30</t>
        </is>
      </c>
      <c r="D23" s="3" t="n">
        <v>46900000000</v>
      </c>
      <c r="E23" t="inlineStr">
        <is>
          <t>0001501585-23-000026</t>
        </is>
      </c>
      <c r="F23" t="inlineStr">
        <is>
          <t>2023-08-03</t>
        </is>
      </c>
      <c r="G23" s="3" t="n">
        <v>2787000000</v>
      </c>
      <c r="H23" t="inlineStr">
        <is>
          <t>reported_3m</t>
        </is>
      </c>
      <c r="I23" t="inlineStr">
        <is>
          <t>Revenues</t>
        </is>
      </c>
      <c r="J23" t="inlineStr">
        <is>
          <t>0001501585-23-000026</t>
        </is>
      </c>
      <c r="K23" t="inlineStr">
        <is>
          <t>2023-08-03</t>
        </is>
      </c>
    </row>
    <row r="24">
      <c r="A24" t="inlineStr">
        <is>
          <t>HII</t>
        </is>
      </c>
      <c r="B24" t="inlineStr">
        <is>
          <t>2023Q3</t>
        </is>
      </c>
      <c r="C24" t="inlineStr">
        <is>
          <t>2023-09-30</t>
        </is>
      </c>
      <c r="D24" s="3" t="n">
        <v>49400000000</v>
      </c>
      <c r="E24" t="inlineStr">
        <is>
          <t>0001501585-23-000033</t>
        </is>
      </c>
      <c r="F24" t="inlineStr">
        <is>
          <t>2023-11-02</t>
        </is>
      </c>
      <c r="G24" s="3" t="n">
        <v>2816000000</v>
      </c>
      <c r="H24" t="inlineStr">
        <is>
          <t>reported_3m</t>
        </is>
      </c>
      <c r="I24" t="inlineStr">
        <is>
          <t>Revenues</t>
        </is>
      </c>
      <c r="J24" t="inlineStr">
        <is>
          <t>0001501585-23-000033</t>
        </is>
      </c>
      <c r="K24" t="inlineStr">
        <is>
          <t>2023-11-02</t>
        </is>
      </c>
    </row>
    <row r="25">
      <c r="A25" t="inlineStr">
        <is>
          <t>HII</t>
        </is>
      </c>
      <c r="B25" t="inlineStr">
        <is>
          <t>2023Q4</t>
        </is>
      </c>
      <c r="C25" t="inlineStr">
        <is>
          <t>2023-12-31</t>
        </is>
      </c>
      <c r="D25" s="3" t="n">
        <v>48100000000</v>
      </c>
      <c r="E25" t="inlineStr">
        <is>
          <t>0001501585-24-000007</t>
        </is>
      </c>
      <c r="F25" t="inlineStr">
        <is>
          <t>2024-02-01</t>
        </is>
      </c>
      <c r="G25" s="3" t="n">
        <v>3177000000</v>
      </c>
      <c r="H25" t="inlineStr">
        <is>
          <t>fy_minus_9m</t>
        </is>
      </c>
      <c r="I25" t="inlineStr">
        <is>
          <t>Revenues</t>
        </is>
      </c>
      <c r="J25" t="inlineStr">
        <is>
          <t>0001501585-24-000007</t>
        </is>
      </c>
      <c r="K25" t="inlineStr">
        <is>
          <t>2024-02-01</t>
        </is>
      </c>
    </row>
    <row r="26">
      <c r="A26" t="inlineStr">
        <is>
          <t>HII</t>
        </is>
      </c>
      <c r="B26" t="inlineStr">
        <is>
          <t>2024Q1</t>
        </is>
      </c>
      <c r="C26" t="inlineStr">
        <is>
          <t>2024-03-31</t>
        </is>
      </c>
      <c r="D26" s="3" t="n">
        <v>48400000000</v>
      </c>
      <c r="E26" t="inlineStr">
        <is>
          <t>0001501585-24-000013</t>
        </is>
      </c>
      <c r="F26" t="inlineStr">
        <is>
          <t>2024-05-02</t>
        </is>
      </c>
      <c r="G26" s="3" t="n">
        <v>2805000000</v>
      </c>
      <c r="H26" t="inlineStr">
        <is>
          <t>reported_3m</t>
        </is>
      </c>
      <c r="I26" t="inlineStr">
        <is>
          <t>Revenues</t>
        </is>
      </c>
      <c r="J26" t="inlineStr">
        <is>
          <t>0001501585-24-000013</t>
        </is>
      </c>
      <c r="K26" t="inlineStr">
        <is>
          <t>2024-05-02</t>
        </is>
      </c>
    </row>
    <row r="27">
      <c r="A27" t="inlineStr">
        <is>
          <t>HII</t>
        </is>
      </c>
      <c r="B27" t="inlineStr">
        <is>
          <t>2024Q2</t>
        </is>
      </c>
      <c r="C27" t="inlineStr">
        <is>
          <t>2024-06-30</t>
        </is>
      </c>
      <c r="D27" s="3" t="n">
        <v>48500000000</v>
      </c>
      <c r="E27" t="inlineStr">
        <is>
          <t>0001501585-24-000036</t>
        </is>
      </c>
      <c r="F27" t="inlineStr">
        <is>
          <t>2024-08-01</t>
        </is>
      </c>
      <c r="G27" s="3" t="n">
        <v>2977000000</v>
      </c>
      <c r="H27" t="inlineStr">
        <is>
          <t>reported_3m</t>
        </is>
      </c>
      <c r="I27" t="inlineStr">
        <is>
          <t>Revenues</t>
        </is>
      </c>
      <c r="J27" t="inlineStr">
        <is>
          <t>0001501585-24-000036</t>
        </is>
      </c>
      <c r="K27" t="inlineStr">
        <is>
          <t>2024-08-01</t>
        </is>
      </c>
    </row>
    <row r="28">
      <c r="A28" t="inlineStr">
        <is>
          <t>HII</t>
        </is>
      </c>
      <c r="B28" t="inlineStr">
        <is>
          <t>2024Q3</t>
        </is>
      </c>
      <c r="C28" t="inlineStr">
        <is>
          <t>2024-09-30</t>
        </is>
      </c>
      <c r="D28" s="3" t="n">
        <v>49400000000</v>
      </c>
      <c r="E28" t="inlineStr">
        <is>
          <t>0001501585-24-000042</t>
        </is>
      </c>
      <c r="F28" t="inlineStr">
        <is>
          <t>2024-10-31</t>
        </is>
      </c>
      <c r="G28" s="3" t="n">
        <v>2749000000</v>
      </c>
      <c r="H28" t="inlineStr">
        <is>
          <t>reported_3m</t>
        </is>
      </c>
      <c r="I28" t="inlineStr">
        <is>
          <t>Revenues</t>
        </is>
      </c>
      <c r="J28" t="inlineStr">
        <is>
          <t>0001501585-24-000042</t>
        </is>
      </c>
      <c r="K28" t="inlineStr">
        <is>
          <t>2024-10-31</t>
        </is>
      </c>
    </row>
    <row r="29">
      <c r="A29" t="inlineStr">
        <is>
          <t>HII</t>
        </is>
      </c>
      <c r="B29" t="inlineStr">
        <is>
          <t>2024Q4</t>
        </is>
      </c>
      <c r="C29" t="inlineStr">
        <is>
          <t>2024-12-31</t>
        </is>
      </c>
      <c r="D29" s="3" t="n">
        <v>48700000000</v>
      </c>
      <c r="E29" t="inlineStr">
        <is>
          <t>0001501585-25-000006</t>
        </is>
      </c>
      <c r="F29" t="inlineStr">
        <is>
          <t>2025-02-06</t>
        </is>
      </c>
      <c r="G29" s="3" t="n">
        <v>3004000000</v>
      </c>
      <c r="H29" t="inlineStr">
        <is>
          <t>fy_minus_9m</t>
        </is>
      </c>
      <c r="I29" t="inlineStr">
        <is>
          <t>Revenues</t>
        </is>
      </c>
      <c r="J29" t="inlineStr">
        <is>
          <t>0001501585-25-000006</t>
        </is>
      </c>
      <c r="K29" t="inlineStr">
        <is>
          <t>2025-02-06</t>
        </is>
      </c>
    </row>
    <row r="30">
      <c r="A30" t="inlineStr">
        <is>
          <t>HII</t>
        </is>
      </c>
      <c r="B30" t="inlineStr">
        <is>
          <t>2025Q1</t>
        </is>
      </c>
      <c r="C30" t="inlineStr">
        <is>
          <t>2025-03-31</t>
        </is>
      </c>
      <c r="D30" s="3" t="n">
        <v>48000000000</v>
      </c>
      <c r="E30" t="inlineStr">
        <is>
          <t>0001501585-25-000037</t>
        </is>
      </c>
      <c r="F30" t="inlineStr">
        <is>
          <t>2025-05-01</t>
        </is>
      </c>
      <c r="G30" s="3" t="n">
        <v>2734000000</v>
      </c>
      <c r="H30" t="inlineStr">
        <is>
          <t>reported_3m</t>
        </is>
      </c>
      <c r="I30" t="inlineStr">
        <is>
          <t>Revenues</t>
        </is>
      </c>
      <c r="J30" t="inlineStr">
        <is>
          <t>0001501585-25-000037</t>
        </is>
      </c>
      <c r="K30" t="inlineStr">
        <is>
          <t>2025-05-01</t>
        </is>
      </c>
    </row>
    <row r="31">
      <c r="A31" t="inlineStr">
        <is>
          <t>HII</t>
        </is>
      </c>
      <c r="B31" t="inlineStr">
        <is>
          <t>2025Q2</t>
        </is>
      </c>
      <c r="C31" t="inlineStr">
        <is>
          <t>2025-06-30</t>
        </is>
      </c>
      <c r="D31" s="3" t="n">
        <v>56900000000</v>
      </c>
      <c r="E31" t="inlineStr">
        <is>
          <t>0001501585-25-000099</t>
        </is>
      </c>
      <c r="F31" t="inlineStr">
        <is>
          <t>2025-07-31</t>
        </is>
      </c>
      <c r="G31" s="3" t="n">
        <v>3082000000</v>
      </c>
      <c r="H31" t="inlineStr">
        <is>
          <t>reported_3m</t>
        </is>
      </c>
      <c r="I31" t="inlineStr">
        <is>
          <t>Revenues</t>
        </is>
      </c>
      <c r="J31" t="inlineStr">
        <is>
          <t>0001501585-25-000099</t>
        </is>
      </c>
      <c r="K31" t="inlineStr">
        <is>
          <t>2025-07-31</t>
        </is>
      </c>
    </row>
    <row r="32">
      <c r="A32" t="inlineStr">
        <is>
          <t>HII</t>
        </is>
      </c>
      <c r="B32" t="inlineStr">
        <is>
          <t>2025Q3</t>
        </is>
      </c>
      <c r="C32" t="inlineStr">
        <is>
          <t>2025-09-30</t>
        </is>
      </c>
      <c r="D32" s="3" t="n">
        <v>55700000000</v>
      </c>
      <c r="E32" t="inlineStr">
        <is>
          <t>0001501585-25-000112</t>
        </is>
      </c>
      <c r="F32" t="inlineStr">
        <is>
          <t>2025-10-30</t>
        </is>
      </c>
      <c r="G32" s="3" t="n">
        <v>3192000000</v>
      </c>
      <c r="H32" t="inlineStr">
        <is>
          <t>reported_3m</t>
        </is>
      </c>
      <c r="I32" t="inlineStr">
        <is>
          <t>Revenues</t>
        </is>
      </c>
      <c r="J32" t="inlineStr">
        <is>
          <t>0001501585-25-000112</t>
        </is>
      </c>
      <c r="K32" t="inlineStr">
        <is>
          <t>2025-10-30</t>
        </is>
      </c>
    </row>
    <row r="33">
      <c r="A33" t="inlineStr">
        <is>
          <t>HII</t>
        </is>
      </c>
      <c r="B33" t="inlineStr">
        <is>
          <t>2025Q4</t>
        </is>
      </c>
      <c r="C33" t="inlineStr">
        <is>
          <t>2025-12-31</t>
        </is>
      </c>
      <c r="D33" s="3" t="n">
        <v>53100000000</v>
      </c>
      <c r="E33" t="inlineStr">
        <is>
          <t>0001501585-26-000006</t>
        </is>
      </c>
      <c r="F33" t="inlineStr">
        <is>
          <t>2026-02-05</t>
        </is>
      </c>
      <c r="G33" s="3" t="n">
        <v>3476000000</v>
      </c>
      <c r="H33" t="inlineStr">
        <is>
          <t>fy_minus_9m</t>
        </is>
      </c>
      <c r="I33" t="inlineStr">
        <is>
          <t>Revenues</t>
        </is>
      </c>
      <c r="J33" t="inlineStr">
        <is>
          <t>0001501585-26-000006</t>
        </is>
      </c>
      <c r="K33" t="inlineStr">
        <is>
          <t>2026-02-05</t>
        </is>
      </c>
    </row>
    <row r="34">
      <c r="A34" t="inlineStr">
        <is>
          <t>HII</t>
        </is>
      </c>
      <c r="B34" t="inlineStr">
        <is>
          <t>2026Q1</t>
        </is>
      </c>
      <c r="C34" t="inlineStr">
        <is>
          <t>2026-03-31</t>
        </is>
      </c>
      <c r="D34" s="3" t="n">
        <v>54000000000</v>
      </c>
      <c r="E34" t="inlineStr">
        <is>
          <t>0001501585-26-000029</t>
        </is>
      </c>
      <c r="F34" t="inlineStr">
        <is>
          <t>2026-05-05</t>
        </is>
      </c>
      <c r="G34" s="3" t="n">
        <v>3099000000</v>
      </c>
      <c r="H34" t="inlineStr">
        <is>
          <t>reported_3m</t>
        </is>
      </c>
      <c r="I34" t="inlineStr">
        <is>
          <t>Revenues</t>
        </is>
      </c>
      <c r="J34" t="inlineStr">
        <is>
          <t>0001501585-26-000029</t>
        </is>
      </c>
      <c r="K34" t="inlineStr">
        <is>
          <t>2026-05-05</t>
        </is>
      </c>
    </row>
    <row r="35">
      <c r="A35" t="inlineStr">
        <is>
          <t>HII</t>
        </is>
      </c>
      <c r="B35" t="inlineStr">
        <is>
          <t>2026Q2</t>
        </is>
      </c>
      <c r="C35" t="inlineStr">
        <is>
          <t>2026-06-30</t>
        </is>
      </c>
      <c r="D35" s="3" t="n">
        <v>57300000000</v>
      </c>
      <c r="E35" t="inlineStr">
        <is>
          <t>0001501585-26-000047</t>
        </is>
      </c>
      <c r="F35" t="inlineStr">
        <is>
          <t>2026-07-30</t>
        </is>
      </c>
      <c r="G35" s="3" t="n">
        <v>3418000000</v>
      </c>
      <c r="H35" t="inlineStr">
        <is>
          <t>reported_3m</t>
        </is>
      </c>
      <c r="I35" t="inlineStr">
        <is>
          <t>Revenues</t>
        </is>
      </c>
      <c r="J35" t="inlineStr">
        <is>
          <t>0001501585-26-000047</t>
        </is>
      </c>
      <c r="K35" t="inlineStr">
        <is>
          <t>2026-07-30</t>
        </is>
      </c>
    </row>
    <row r="36">
      <c r="A36" t="inlineStr">
        <is>
          <t>LHX</t>
        </is>
      </c>
      <c r="B36" t="inlineStr">
        <is>
          <t>2020Q1</t>
        </is>
      </c>
      <c r="D36" s="3" t="n"/>
      <c r="G36" s="3" t="n">
        <v>4626000000</v>
      </c>
      <c r="H36" t="inlineStr">
        <is>
          <t>reported_3m</t>
        </is>
      </c>
      <c r="I36" t="inlineStr">
        <is>
          <t>RevenueFromContractWithCustomerExcludingAssessedTax</t>
        </is>
      </c>
      <c r="J36" t="inlineStr">
        <is>
          <t>0000202058-20-000040</t>
        </is>
      </c>
      <c r="K36" t="inlineStr">
        <is>
          <t>2020-05-07</t>
        </is>
      </c>
    </row>
    <row r="37">
      <c r="A37" t="inlineStr">
        <is>
          <t>LHX</t>
        </is>
      </c>
      <c r="B37" t="inlineStr">
        <is>
          <t>2020Q2</t>
        </is>
      </c>
      <c r="D37" s="3" t="n"/>
      <c r="G37" s="3" t="n">
        <v>4445000000</v>
      </c>
      <c r="H37" t="inlineStr">
        <is>
          <t>reported_3m</t>
        </is>
      </c>
      <c r="I37" t="inlineStr">
        <is>
          <t>RevenueFromContractWithCustomerExcludingAssessedTax</t>
        </is>
      </c>
      <c r="J37" t="inlineStr">
        <is>
          <t>0000202058-20-000053</t>
        </is>
      </c>
      <c r="K37" t="inlineStr">
        <is>
          <t>2020-08-04</t>
        </is>
      </c>
    </row>
    <row r="38">
      <c r="A38" t="inlineStr">
        <is>
          <t>LHX</t>
        </is>
      </c>
      <c r="B38" t="inlineStr">
        <is>
          <t>2020Q3</t>
        </is>
      </c>
      <c r="D38" s="3" t="n"/>
      <c r="G38" s="3" t="n">
        <v>4463000000</v>
      </c>
      <c r="H38" t="inlineStr">
        <is>
          <t>reported_3m</t>
        </is>
      </c>
      <c r="I38" t="inlineStr">
        <is>
          <t>RevenueFromContractWithCustomerExcludingAssessedTax</t>
        </is>
      </c>
      <c r="J38" t="inlineStr">
        <is>
          <t>0000202058-20-000063</t>
        </is>
      </c>
      <c r="K38" t="inlineStr">
        <is>
          <t>2020-11-02</t>
        </is>
      </c>
    </row>
    <row r="39">
      <c r="A39" t="inlineStr">
        <is>
          <t>LHX</t>
        </is>
      </c>
      <c r="B39" t="inlineStr">
        <is>
          <t>2020Q4</t>
        </is>
      </c>
      <c r="C39" t="inlineStr">
        <is>
          <t>2021-01-01</t>
        </is>
      </c>
      <c r="D39" s="3" t="n">
        <v>21700000000</v>
      </c>
      <c r="E39" t="inlineStr">
        <is>
          <t>0000202058-21-000008</t>
        </is>
      </c>
      <c r="F39" t="inlineStr">
        <is>
          <t>2021-03-01</t>
        </is>
      </c>
      <c r="G39" s="3" t="n">
        <v>4660000000</v>
      </c>
      <c r="H39" t="inlineStr">
        <is>
          <t>fy_minus_9m</t>
        </is>
      </c>
      <c r="I39" t="inlineStr">
        <is>
          <t>RevenueFromContractWithCustomerExcludingAssessedTax</t>
        </is>
      </c>
      <c r="J39" t="inlineStr">
        <is>
          <t>0000202058-21-000008</t>
        </is>
      </c>
      <c r="K39" t="inlineStr">
        <is>
          <t>2021-03-01</t>
        </is>
      </c>
    </row>
    <row r="40">
      <c r="A40" t="inlineStr">
        <is>
          <t>LHX</t>
        </is>
      </c>
      <c r="B40" t="inlineStr">
        <is>
          <t>2021Q1</t>
        </is>
      </c>
      <c r="D40" s="3" t="n"/>
      <c r="G40" s="3" t="n">
        <v>4567000000</v>
      </c>
      <c r="H40" t="inlineStr">
        <is>
          <t>reported_3m</t>
        </is>
      </c>
      <c r="I40" t="inlineStr">
        <is>
          <t>RevenueFromContractWithCustomerExcludingAssessedTax</t>
        </is>
      </c>
      <c r="J40" t="inlineStr">
        <is>
          <t>0000202058-21-000020</t>
        </is>
      </c>
      <c r="K40" t="inlineStr">
        <is>
          <t>2021-05-03</t>
        </is>
      </c>
    </row>
    <row r="41">
      <c r="A41" t="inlineStr">
        <is>
          <t>LHX</t>
        </is>
      </c>
      <c r="B41" t="inlineStr">
        <is>
          <t>2021Q2</t>
        </is>
      </c>
      <c r="D41" s="3" t="n"/>
      <c r="G41" s="3" t="n">
        <v>4668000000</v>
      </c>
      <c r="H41" t="inlineStr">
        <is>
          <t>reported_3m</t>
        </is>
      </c>
      <c r="I41" t="inlineStr">
        <is>
          <t>RevenueFromContractWithCustomerExcludingAssessedTax</t>
        </is>
      </c>
      <c r="J41" t="inlineStr">
        <is>
          <t>0000202058-21-000046</t>
        </is>
      </c>
      <c r="K41" t="inlineStr">
        <is>
          <t>2021-08-04</t>
        </is>
      </c>
    </row>
    <row r="42">
      <c r="A42" t="inlineStr">
        <is>
          <t>LHX</t>
        </is>
      </c>
      <c r="B42" t="inlineStr">
        <is>
          <t>2021Q3</t>
        </is>
      </c>
      <c r="D42" s="3" t="n"/>
      <c r="G42" s="3" t="n">
        <v>4229000000</v>
      </c>
      <c r="H42" t="inlineStr">
        <is>
          <t>reported_3m</t>
        </is>
      </c>
      <c r="I42" t="inlineStr">
        <is>
          <t>RevenueFromContractWithCustomerExcludingAssessedTax</t>
        </is>
      </c>
      <c r="J42" t="inlineStr">
        <is>
          <t>0000202058-21-000054</t>
        </is>
      </c>
      <c r="K42" t="inlineStr">
        <is>
          <t>2021-10-29</t>
        </is>
      </c>
    </row>
    <row r="43">
      <c r="A43" t="inlineStr">
        <is>
          <t>LHX</t>
        </is>
      </c>
      <c r="B43" t="inlineStr">
        <is>
          <t>2021Q4</t>
        </is>
      </c>
      <c r="C43" t="inlineStr">
        <is>
          <t>2021-12-31</t>
        </is>
      </c>
      <c r="D43" s="3" t="n">
        <v>21100000000</v>
      </c>
      <c r="E43" t="inlineStr">
        <is>
          <t>0000202058-22-000029</t>
        </is>
      </c>
      <c r="F43" t="inlineStr">
        <is>
          <t>2022-04-29</t>
        </is>
      </c>
      <c r="G43" s="3" t="n">
        <v>4350000000</v>
      </c>
      <c r="H43" t="inlineStr">
        <is>
          <t>fy_minus_9m</t>
        </is>
      </c>
      <c r="I43" t="inlineStr">
        <is>
          <t>RevenueFromContractWithCustomerExcludingAssessedTax</t>
        </is>
      </c>
      <c r="J43" t="inlineStr">
        <is>
          <t>0000202058-22-000015</t>
        </is>
      </c>
      <c r="K43" t="inlineStr">
        <is>
          <t>2022-02-25</t>
        </is>
      </c>
    </row>
    <row r="44">
      <c r="A44" t="inlineStr">
        <is>
          <t>LHX</t>
        </is>
      </c>
      <c r="B44" t="inlineStr">
        <is>
          <t>2022Q1</t>
        </is>
      </c>
      <c r="C44" t="inlineStr">
        <is>
          <t>2022-04-01</t>
        </is>
      </c>
      <c r="D44" s="3" t="n">
        <v>21100000000</v>
      </c>
      <c r="E44" t="inlineStr">
        <is>
          <t>0000202058-22-000029</t>
        </is>
      </c>
      <c r="F44" t="inlineStr">
        <is>
          <t>2022-04-29</t>
        </is>
      </c>
      <c r="G44" s="3" t="n">
        <v>4103000000</v>
      </c>
      <c r="H44" t="inlineStr">
        <is>
          <t>reported_3m</t>
        </is>
      </c>
      <c r="I44" t="inlineStr">
        <is>
          <t>RevenueFromContractWithCustomerExcludingAssessedTax</t>
        </is>
      </c>
      <c r="J44" t="inlineStr">
        <is>
          <t>0000202058-22-000029</t>
        </is>
      </c>
      <c r="K44" t="inlineStr">
        <is>
          <t>2022-04-29</t>
        </is>
      </c>
    </row>
    <row r="45">
      <c r="A45" t="inlineStr">
        <is>
          <t>LHX</t>
        </is>
      </c>
      <c r="B45" t="inlineStr">
        <is>
          <t>2022Q2</t>
        </is>
      </c>
      <c r="C45" t="inlineStr">
        <is>
          <t>2022-07-01</t>
        </is>
      </c>
      <c r="D45" s="3" t="n">
        <v>19900000000</v>
      </c>
      <c r="E45" t="inlineStr">
        <is>
          <t>0000202058-22-000051</t>
        </is>
      </c>
      <c r="F45" t="inlineStr">
        <is>
          <t>2022-07-29</t>
        </is>
      </c>
      <c r="G45" s="3" t="n">
        <v>4135000000</v>
      </c>
      <c r="H45" t="inlineStr">
        <is>
          <t>reported_3m</t>
        </is>
      </c>
      <c r="I45" t="inlineStr">
        <is>
          <t>RevenueFromContractWithCustomerExcludingAssessedTax</t>
        </is>
      </c>
      <c r="J45" t="inlineStr">
        <is>
          <t>0000202058-22-000051</t>
        </is>
      </c>
      <c r="K45" t="inlineStr">
        <is>
          <t>2022-07-29</t>
        </is>
      </c>
    </row>
    <row r="46">
      <c r="A46" t="inlineStr">
        <is>
          <t>LHX</t>
        </is>
      </c>
      <c r="B46" t="inlineStr">
        <is>
          <t>2022Q3</t>
        </is>
      </c>
      <c r="C46" t="inlineStr">
        <is>
          <t>2022-09-30</t>
        </is>
      </c>
      <c r="D46" s="3" t="n">
        <v>21400000000</v>
      </c>
      <c r="E46" t="inlineStr">
        <is>
          <t>0000202058-22-000063</t>
        </is>
      </c>
      <c r="F46" t="inlineStr">
        <is>
          <t>2022-10-31</t>
        </is>
      </c>
      <c r="G46" s="3" t="n">
        <v>4246000000</v>
      </c>
      <c r="H46" t="inlineStr">
        <is>
          <t>reported_3m</t>
        </is>
      </c>
      <c r="I46" t="inlineStr">
        <is>
          <t>RevenueFromContractWithCustomerExcludingAssessedTax</t>
        </is>
      </c>
      <c r="J46" t="inlineStr">
        <is>
          <t>0000202058-22-000063</t>
        </is>
      </c>
      <c r="K46" t="inlineStr">
        <is>
          <t>2022-10-31</t>
        </is>
      </c>
    </row>
    <row r="47">
      <c r="A47" t="inlineStr">
        <is>
          <t>LHX</t>
        </is>
      </c>
      <c r="B47" t="inlineStr">
        <is>
          <t>2022Q4</t>
        </is>
      </c>
      <c r="C47" t="inlineStr">
        <is>
          <t>2022-12-30</t>
        </is>
      </c>
      <c r="D47" s="3" t="n">
        <v>22300000000</v>
      </c>
      <c r="E47" t="inlineStr">
        <is>
          <t>0000202058-23-000014</t>
        </is>
      </c>
      <c r="F47" t="inlineStr">
        <is>
          <t>2023-02-24</t>
        </is>
      </c>
      <c r="G47" s="3" t="n">
        <v>4578000000</v>
      </c>
      <c r="H47" t="inlineStr">
        <is>
          <t>fy_minus_9m</t>
        </is>
      </c>
      <c r="I47" t="inlineStr">
        <is>
          <t>RevenueFromContractWithCustomerExcludingAssessedTax</t>
        </is>
      </c>
      <c r="J47" t="inlineStr">
        <is>
          <t>0000202058-23-000014</t>
        </is>
      </c>
      <c r="K47" t="inlineStr">
        <is>
          <t>2023-02-24</t>
        </is>
      </c>
    </row>
    <row r="48">
      <c r="A48" t="inlineStr">
        <is>
          <t>LHX</t>
        </is>
      </c>
      <c r="B48" t="inlineStr">
        <is>
          <t>2023Q1</t>
        </is>
      </c>
      <c r="C48" t="inlineStr">
        <is>
          <t>2023-03-31</t>
        </is>
      </c>
      <c r="D48" s="3" t="n">
        <v>24500000000</v>
      </c>
      <c r="E48" t="inlineStr">
        <is>
          <t>0000202058-23-000028</t>
        </is>
      </c>
      <c r="F48" t="inlineStr">
        <is>
          <t>2023-04-28</t>
        </is>
      </c>
      <c r="G48" s="3" t="n">
        <v>4471000000</v>
      </c>
      <c r="H48" t="inlineStr">
        <is>
          <t>reported_3m</t>
        </is>
      </c>
      <c r="I48" t="inlineStr">
        <is>
          <t>RevenueFromContractWithCustomerExcludingAssessedTax</t>
        </is>
      </c>
      <c r="J48" t="inlineStr">
        <is>
          <t>0000202058-23-000028</t>
        </is>
      </c>
      <c r="K48" t="inlineStr">
        <is>
          <t>2023-04-28</t>
        </is>
      </c>
    </row>
    <row r="49">
      <c r="A49" t="inlineStr">
        <is>
          <t>LHX</t>
        </is>
      </c>
      <c r="B49" t="inlineStr">
        <is>
          <t>2023Q2</t>
        </is>
      </c>
      <c r="C49" t="inlineStr">
        <is>
          <t>2023-06-30</t>
        </is>
      </c>
      <c r="D49" s="3" t="n">
        <v>24900000000</v>
      </c>
      <c r="E49" t="inlineStr">
        <is>
          <t>0000202058-23-000047</t>
        </is>
      </c>
      <c r="F49" t="inlineStr">
        <is>
          <t>2023-07-26</t>
        </is>
      </c>
      <c r="G49" s="3" t="n">
        <v>4693000000</v>
      </c>
      <c r="H49" t="inlineStr">
        <is>
          <t>reported_3m</t>
        </is>
      </c>
      <c r="I49" t="inlineStr">
        <is>
          <t>RevenueFromContractWithCustomerExcludingAssessedTax</t>
        </is>
      </c>
      <c r="J49" t="inlineStr">
        <is>
          <t>0000202058-23-000047</t>
        </is>
      </c>
      <c r="K49" t="inlineStr">
        <is>
          <t>2023-07-26</t>
        </is>
      </c>
    </row>
    <row r="50">
      <c r="A50" t="inlineStr">
        <is>
          <t>LHX</t>
        </is>
      </c>
      <c r="B50" t="inlineStr">
        <is>
          <t>2023Q3</t>
        </is>
      </c>
      <c r="C50" t="inlineStr">
        <is>
          <t>2023-09-29</t>
        </is>
      </c>
      <c r="D50" s="3" t="n">
        <v>31800000000</v>
      </c>
      <c r="E50" t="inlineStr">
        <is>
          <t>0000202058-23-000057</t>
        </is>
      </c>
      <c r="F50" t="inlineStr">
        <is>
          <t>2023-10-27</t>
        </is>
      </c>
      <c r="G50" s="3" t="n">
        <v>4915000000</v>
      </c>
      <c r="H50" t="inlineStr">
        <is>
          <t>reported_3m</t>
        </is>
      </c>
      <c r="I50" t="inlineStr">
        <is>
          <t>RevenueFromContractWithCustomerExcludingAssessedTax</t>
        </is>
      </c>
      <c r="J50" t="inlineStr">
        <is>
          <t>0000202058-23-000057</t>
        </is>
      </c>
      <c r="K50" t="inlineStr">
        <is>
          <t>2023-10-27</t>
        </is>
      </c>
    </row>
    <row r="51">
      <c r="A51" t="inlineStr">
        <is>
          <t>LHX</t>
        </is>
      </c>
      <c r="B51" t="inlineStr">
        <is>
          <t>2023Q4</t>
        </is>
      </c>
      <c r="C51" t="inlineStr">
        <is>
          <t>2023-12-29</t>
        </is>
      </c>
      <c r="D51" s="3" t="n">
        <v>32700000000</v>
      </c>
      <c r="E51" t="inlineStr">
        <is>
          <t>0000202058-24-000029</t>
        </is>
      </c>
      <c r="F51" t="inlineStr">
        <is>
          <t>2024-02-20</t>
        </is>
      </c>
      <c r="G51" s="3" t="n">
        <v>5340000000</v>
      </c>
      <c r="H51" t="inlineStr">
        <is>
          <t>fy_minus_9m</t>
        </is>
      </c>
      <c r="I51" t="inlineStr">
        <is>
          <t>RevenueFromContractWithCustomerExcludingAssessedTax</t>
        </is>
      </c>
      <c r="J51" t="inlineStr">
        <is>
          <t>0000202058-24-000029</t>
        </is>
      </c>
      <c r="K51" t="inlineStr">
        <is>
          <t>2024-02-20</t>
        </is>
      </c>
    </row>
    <row r="52">
      <c r="A52" t="inlineStr">
        <is>
          <t>LHX</t>
        </is>
      </c>
      <c r="B52" t="inlineStr">
        <is>
          <t>2024Q1</t>
        </is>
      </c>
      <c r="C52" t="inlineStr">
        <is>
          <t>2024-03-29</t>
        </is>
      </c>
      <c r="D52" s="3" t="n">
        <v>32100000000</v>
      </c>
      <c r="E52" t="inlineStr">
        <is>
          <t>0000202058-24-000103</t>
        </is>
      </c>
      <c r="F52" t="inlineStr">
        <is>
          <t>2024-04-26</t>
        </is>
      </c>
      <c r="G52" s="3" t="n">
        <v>5211000000</v>
      </c>
      <c r="H52" t="inlineStr">
        <is>
          <t>reported_3m</t>
        </is>
      </c>
      <c r="I52" t="inlineStr">
        <is>
          <t>RevenueFromContractWithCustomerExcludingAssessedTax</t>
        </is>
      </c>
      <c r="J52" t="inlineStr">
        <is>
          <t>0000202058-24-000103</t>
        </is>
      </c>
      <c r="K52" t="inlineStr">
        <is>
          <t>2024-04-26</t>
        </is>
      </c>
    </row>
    <row r="53">
      <c r="A53" t="inlineStr">
        <is>
          <t>LHX</t>
        </is>
      </c>
      <c r="B53" t="inlineStr">
        <is>
          <t>2024Q2</t>
        </is>
      </c>
      <c r="C53" t="inlineStr">
        <is>
          <t>2024-06-28</t>
        </is>
      </c>
      <c r="D53" s="3" t="n">
        <v>31700000000</v>
      </c>
      <c r="E53" t="inlineStr">
        <is>
          <t>0000202058-24-000140</t>
        </is>
      </c>
      <c r="F53" t="inlineStr">
        <is>
          <t>2024-07-26</t>
        </is>
      </c>
      <c r="G53" s="3" t="n">
        <v>5299000000</v>
      </c>
      <c r="H53" t="inlineStr">
        <is>
          <t>reported_3m</t>
        </is>
      </c>
      <c r="I53" t="inlineStr">
        <is>
          <t>RevenueFromContractWithCustomerExcludingAssessedTax</t>
        </is>
      </c>
      <c r="J53" t="inlineStr">
        <is>
          <t>0000202058-24-000140</t>
        </is>
      </c>
      <c r="K53" t="inlineStr">
        <is>
          <t>2024-07-26</t>
        </is>
      </c>
    </row>
    <row r="54">
      <c r="A54" t="inlineStr">
        <is>
          <t>LHX</t>
        </is>
      </c>
      <c r="B54" t="inlineStr">
        <is>
          <t>2024Q3</t>
        </is>
      </c>
      <c r="C54" t="inlineStr">
        <is>
          <t>2024-09-27</t>
        </is>
      </c>
      <c r="D54" s="3" t="n">
        <v>33800000000</v>
      </c>
      <c r="E54" t="inlineStr">
        <is>
          <t>0000202058-24-000168</t>
        </is>
      </c>
      <c r="F54" t="inlineStr">
        <is>
          <t>2024-10-25</t>
        </is>
      </c>
      <c r="G54" s="3" t="n">
        <v>5292000000</v>
      </c>
      <c r="H54" t="inlineStr">
        <is>
          <t>reported_3m</t>
        </is>
      </c>
      <c r="I54" t="inlineStr">
        <is>
          <t>RevenueFromContractWithCustomerExcludingAssessedTax</t>
        </is>
      </c>
      <c r="J54" t="inlineStr">
        <is>
          <t>0000202058-24-000168</t>
        </is>
      </c>
      <c r="K54" t="inlineStr">
        <is>
          <t>2024-10-25</t>
        </is>
      </c>
    </row>
    <row r="55">
      <c r="A55" t="inlineStr">
        <is>
          <t>LHX</t>
        </is>
      </c>
      <c r="B55" t="inlineStr">
        <is>
          <t>2024Q4</t>
        </is>
      </c>
      <c r="C55" t="inlineStr">
        <is>
          <t>2025-01-03</t>
        </is>
      </c>
      <c r="D55" s="3" t="n">
        <v>34200000000</v>
      </c>
      <c r="E55" t="inlineStr">
        <is>
          <t>0000202058-25-000023</t>
        </is>
      </c>
      <c r="F55" t="inlineStr">
        <is>
          <t>2025-02-14</t>
        </is>
      </c>
      <c r="G55" s="3" t="n">
        <v>5523000000</v>
      </c>
      <c r="H55" t="inlineStr">
        <is>
          <t>fy_minus_9m</t>
        </is>
      </c>
      <c r="I55" t="inlineStr">
        <is>
          <t>RevenueFromContractWithCustomerExcludingAssessedTax</t>
        </is>
      </c>
      <c r="J55" t="inlineStr">
        <is>
          <t>0000202058-25-000023</t>
        </is>
      </c>
      <c r="K55" t="inlineStr">
        <is>
          <t>2025-02-14</t>
        </is>
      </c>
    </row>
    <row r="56">
      <c r="A56" t="inlineStr">
        <is>
          <t>LHX</t>
        </is>
      </c>
      <c r="B56" t="inlineStr">
        <is>
          <t>2025Q1</t>
        </is>
      </c>
      <c r="C56" t="inlineStr">
        <is>
          <t>2025-03-28</t>
        </is>
      </c>
      <c r="D56" s="3" t="n">
        <v>33200000000</v>
      </c>
      <c r="E56" t="inlineStr">
        <is>
          <t>0000202058-25-000101</t>
        </is>
      </c>
      <c r="F56" t="inlineStr">
        <is>
          <t>2025-04-24</t>
        </is>
      </c>
      <c r="G56" s="3" t="n">
        <v>5132000000</v>
      </c>
      <c r="H56" t="inlineStr">
        <is>
          <t>reported_3m</t>
        </is>
      </c>
      <c r="I56" t="inlineStr">
        <is>
          <t>RevenueFromContractWithCustomerExcludingAssessedTax</t>
        </is>
      </c>
      <c r="J56" t="inlineStr">
        <is>
          <t>0000202058-25-000101</t>
        </is>
      </c>
      <c r="K56" t="inlineStr">
        <is>
          <t>2025-04-24</t>
        </is>
      </c>
    </row>
    <row r="57">
      <c r="A57" t="inlineStr">
        <is>
          <t>LHX</t>
        </is>
      </c>
      <c r="B57" t="inlineStr">
        <is>
          <t>2025Q2</t>
        </is>
      </c>
      <c r="C57" t="inlineStr">
        <is>
          <t>2025-06-27</t>
        </is>
      </c>
      <c r="D57" s="3" t="n">
        <v>35400000000</v>
      </c>
      <c r="E57" t="inlineStr">
        <is>
          <t>0000202058-25-000151</t>
        </is>
      </c>
      <c r="F57" t="inlineStr">
        <is>
          <t>2025-07-24</t>
        </is>
      </c>
      <c r="G57" s="3" t="n">
        <v>5426000000</v>
      </c>
      <c r="H57" t="inlineStr">
        <is>
          <t>reported_3m</t>
        </is>
      </c>
      <c r="I57" t="inlineStr">
        <is>
          <t>RevenueFromContractWithCustomerExcludingAssessedTax</t>
        </is>
      </c>
      <c r="J57" t="inlineStr">
        <is>
          <t>0000202058-25-000151</t>
        </is>
      </c>
      <c r="K57" t="inlineStr">
        <is>
          <t>2025-07-24</t>
        </is>
      </c>
    </row>
    <row r="58">
      <c r="A58" t="inlineStr">
        <is>
          <t>LHX</t>
        </is>
      </c>
      <c r="B58" t="inlineStr">
        <is>
          <t>2025Q3</t>
        </is>
      </c>
      <c r="C58" t="inlineStr">
        <is>
          <t>2025-10-03</t>
        </is>
      </c>
      <c r="D58" s="3" t="n">
        <v>36300000000</v>
      </c>
      <c r="E58" t="inlineStr">
        <is>
          <t>0000202058-25-000173</t>
        </is>
      </c>
      <c r="F58" t="inlineStr">
        <is>
          <t>2025-10-30</t>
        </is>
      </c>
      <c r="G58" s="3" t="n">
        <v>5659000000</v>
      </c>
      <c r="H58" t="inlineStr">
        <is>
          <t>reported_3m</t>
        </is>
      </c>
      <c r="I58" t="inlineStr">
        <is>
          <t>RevenueFromContractWithCustomerExcludingAssessedTax</t>
        </is>
      </c>
      <c r="J58" t="inlineStr">
        <is>
          <t>0000202058-25-000173</t>
        </is>
      </c>
      <c r="K58" t="inlineStr">
        <is>
          <t>2025-10-30</t>
        </is>
      </c>
    </row>
    <row r="59">
      <c r="A59" t="inlineStr">
        <is>
          <t>LHX</t>
        </is>
      </c>
      <c r="B59" t="inlineStr">
        <is>
          <t>2025Q4</t>
        </is>
      </c>
      <c r="C59" t="inlineStr">
        <is>
          <t>2026-01-02</t>
        </is>
      </c>
      <c r="D59" s="3" t="n">
        <v>38700000000</v>
      </c>
      <c r="E59" t="inlineStr">
        <is>
          <t>0000202058-26-000015</t>
        </is>
      </c>
      <c r="F59" t="inlineStr">
        <is>
          <t>2026-02-12</t>
        </is>
      </c>
      <c r="G59" s="3" t="n">
        <v>5648000000</v>
      </c>
      <c r="H59" t="inlineStr">
        <is>
          <t>fy_minus_9m</t>
        </is>
      </c>
      <c r="I59" t="inlineStr">
        <is>
          <t>RevenueFromContractWithCustomerExcludingAssessedTax</t>
        </is>
      </c>
      <c r="J59" t="inlineStr">
        <is>
          <t>0000202058-26-000015</t>
        </is>
      </c>
      <c r="K59" t="inlineStr">
        <is>
          <t>2026-02-12</t>
        </is>
      </c>
    </row>
    <row r="60">
      <c r="A60" t="inlineStr">
        <is>
          <t>LHX</t>
        </is>
      </c>
      <c r="B60" t="inlineStr">
        <is>
          <t>2026Q1</t>
        </is>
      </c>
      <c r="C60" t="inlineStr">
        <is>
          <t>2026-04-03</t>
        </is>
      </c>
      <c r="D60" s="3" t="n">
        <v>40700000000</v>
      </c>
      <c r="E60" t="inlineStr">
        <is>
          <t>0000202058-26-000035</t>
        </is>
      </c>
      <c r="F60" t="inlineStr">
        <is>
          <t>2026-04-30</t>
        </is>
      </c>
      <c r="G60" s="3" t="n">
        <v>5744000000</v>
      </c>
      <c r="H60" t="inlineStr">
        <is>
          <t>reported_3m</t>
        </is>
      </c>
      <c r="I60" t="inlineStr">
        <is>
          <t>RevenueFromContractWithCustomerExcludingAssessedTax</t>
        </is>
      </c>
      <c r="J60" t="inlineStr">
        <is>
          <t>0000202058-26-000035</t>
        </is>
      </c>
      <c r="K60" t="inlineStr">
        <is>
          <t>2026-04-30</t>
        </is>
      </c>
    </row>
    <row r="61">
      <c r="A61" t="inlineStr">
        <is>
          <t>LHX</t>
        </is>
      </c>
      <c r="B61" t="inlineStr">
        <is>
          <t>2026Q2</t>
        </is>
      </c>
      <c r="C61" t="inlineStr">
        <is>
          <t>2026-07-03</t>
        </is>
      </c>
      <c r="D61" s="3" t="n">
        <v>42000000000</v>
      </c>
      <c r="E61" t="inlineStr">
        <is>
          <t>0000202058-26-000058</t>
        </is>
      </c>
      <c r="F61" t="inlineStr">
        <is>
          <t>2026-07-30</t>
        </is>
      </c>
      <c r="G61" s="3" t="n">
        <v>5881000000</v>
      </c>
      <c r="H61" t="inlineStr">
        <is>
          <t>reported_3m</t>
        </is>
      </c>
      <c r="I61" t="inlineStr">
        <is>
          <t>RevenueFromContractWithCustomerExcludingAssessedTax</t>
        </is>
      </c>
      <c r="J61" t="inlineStr">
        <is>
          <t>0000202058-26-000058</t>
        </is>
      </c>
      <c r="K61" t="inlineStr">
        <is>
          <t>2026-07-30</t>
        </is>
      </c>
    </row>
    <row r="62">
      <c r="A62" t="inlineStr">
        <is>
          <t>LMT</t>
        </is>
      </c>
      <c r="B62" t="inlineStr">
        <is>
          <t>2018Q1</t>
        </is>
      </c>
      <c r="C62" t="inlineStr">
        <is>
          <t>2018-03-25</t>
        </is>
      </c>
      <c r="D62" s="3" t="n">
        <v>104800000000</v>
      </c>
      <c r="E62" t="inlineStr">
        <is>
          <t>0000936468-18-000023</t>
        </is>
      </c>
      <c r="F62" t="inlineStr">
        <is>
          <t>2018-04-25</t>
        </is>
      </c>
      <c r="G62" s="3" t="n">
        <v>11635000000</v>
      </c>
      <c r="H62" t="inlineStr">
        <is>
          <t>reported_3m</t>
        </is>
      </c>
      <c r="I62" t="inlineStr">
        <is>
          <t>Revenues</t>
        </is>
      </c>
      <c r="J62" t="inlineStr">
        <is>
          <t>0000936468-19-000009</t>
        </is>
      </c>
      <c r="K62" t="inlineStr">
        <is>
          <t>2019-02-08</t>
        </is>
      </c>
    </row>
    <row r="63">
      <c r="A63" t="inlineStr">
        <is>
          <t>LMT</t>
        </is>
      </c>
      <c r="B63" t="inlineStr">
        <is>
          <t>2018Q2</t>
        </is>
      </c>
      <c r="C63" t="inlineStr">
        <is>
          <t>2018-06-24</t>
        </is>
      </c>
      <c r="D63" s="3" t="n">
        <v>105000000000</v>
      </c>
      <c r="E63" t="inlineStr">
        <is>
          <t>0000936468-18-000053</t>
        </is>
      </c>
      <c r="F63" t="inlineStr">
        <is>
          <t>2018-07-24</t>
        </is>
      </c>
      <c r="G63" s="3" t="n">
        <v>13398000000</v>
      </c>
      <c r="H63" t="inlineStr">
        <is>
          <t>reported_3m</t>
        </is>
      </c>
      <c r="I63" t="inlineStr">
        <is>
          <t>RevenueFromContractWithCustomerExcludingAssessedTax</t>
        </is>
      </c>
      <c r="J63" t="inlineStr">
        <is>
          <t>0000936468-18-000053</t>
        </is>
      </c>
      <c r="K63" t="inlineStr">
        <is>
          <t>2018-07-24</t>
        </is>
      </c>
    </row>
    <row r="64">
      <c r="A64" t="inlineStr">
        <is>
          <t>LMT</t>
        </is>
      </c>
      <c r="B64" t="inlineStr">
        <is>
          <t>2018Q3</t>
        </is>
      </c>
      <c r="C64" t="inlineStr">
        <is>
          <t>2018-09-30</t>
        </is>
      </c>
      <c r="D64" s="3" t="n">
        <v>109000000000</v>
      </c>
      <c r="E64" t="inlineStr">
        <is>
          <t>0000936468-18-000067</t>
        </is>
      </c>
      <c r="F64" t="inlineStr">
        <is>
          <t>2018-10-25</t>
        </is>
      </c>
      <c r="G64" s="3" t="n">
        <v>14318000000</v>
      </c>
      <c r="H64" t="inlineStr">
        <is>
          <t>reported_3m</t>
        </is>
      </c>
      <c r="I64" t="inlineStr">
        <is>
          <t>Revenues</t>
        </is>
      </c>
      <c r="J64" t="inlineStr">
        <is>
          <t>0000936468-18-000067</t>
        </is>
      </c>
      <c r="K64" t="inlineStr">
        <is>
          <t>2018-10-25</t>
        </is>
      </c>
    </row>
    <row r="65">
      <c r="A65" t="inlineStr">
        <is>
          <t>LMT</t>
        </is>
      </c>
      <c r="B65" t="inlineStr">
        <is>
          <t>2018Q4</t>
        </is>
      </c>
      <c r="C65" t="inlineStr">
        <is>
          <t>2018-12-31</t>
        </is>
      </c>
      <c r="D65" s="3" t="n">
        <v>130500000000</v>
      </c>
      <c r="E65" t="inlineStr">
        <is>
          <t>0000936468-19-000009</t>
        </is>
      </c>
      <c r="F65" t="inlineStr">
        <is>
          <t>2019-02-08</t>
        </is>
      </c>
      <c r="G65" s="3" t="n">
        <v>14411000000</v>
      </c>
      <c r="H65" t="inlineStr">
        <is>
          <t>reported_3m</t>
        </is>
      </c>
      <c r="I65" t="inlineStr">
        <is>
          <t>Revenues</t>
        </is>
      </c>
      <c r="J65" t="inlineStr">
        <is>
          <t>0000936468-19-000009</t>
        </is>
      </c>
      <c r="K65" t="inlineStr">
        <is>
          <t>2019-02-08</t>
        </is>
      </c>
    </row>
    <row r="66">
      <c r="A66" t="inlineStr">
        <is>
          <t>LMT</t>
        </is>
      </c>
      <c r="B66" t="inlineStr">
        <is>
          <t>2019Q1</t>
        </is>
      </c>
      <c r="C66" t="inlineStr">
        <is>
          <t>2019-03-31</t>
        </is>
      </c>
      <c r="D66" s="3" t="n">
        <v>133500000000</v>
      </c>
      <c r="E66" t="inlineStr">
        <is>
          <t>0000936468-19-000022</t>
        </is>
      </c>
      <c r="F66" t="inlineStr">
        <is>
          <t>2019-04-24</t>
        </is>
      </c>
      <c r="G66" s="3" t="n">
        <v>14336000000</v>
      </c>
      <c r="H66" t="inlineStr">
        <is>
          <t>reported_3m</t>
        </is>
      </c>
      <c r="I66" t="inlineStr">
        <is>
          <t>Revenues</t>
        </is>
      </c>
      <c r="J66" t="inlineStr">
        <is>
          <t>0000936468-19-000022</t>
        </is>
      </c>
      <c r="K66" t="inlineStr">
        <is>
          <t>2019-04-24</t>
        </is>
      </c>
    </row>
    <row r="67">
      <c r="A67" t="inlineStr">
        <is>
          <t>LMT</t>
        </is>
      </c>
      <c r="B67" t="inlineStr">
        <is>
          <t>2019Q2</t>
        </is>
      </c>
      <c r="C67" t="inlineStr">
        <is>
          <t>2019-06-30</t>
        </is>
      </c>
      <c r="D67" s="3" t="n">
        <v>136700000000</v>
      </c>
      <c r="E67" t="inlineStr">
        <is>
          <t>0000936468-19-000058</t>
        </is>
      </c>
      <c r="F67" t="inlineStr">
        <is>
          <t>2019-07-23</t>
        </is>
      </c>
      <c r="G67" s="3" t="n">
        <v>14427000000</v>
      </c>
      <c r="H67" t="inlineStr">
        <is>
          <t>reported_3m</t>
        </is>
      </c>
      <c r="I67" t="inlineStr">
        <is>
          <t>Revenues</t>
        </is>
      </c>
      <c r="J67" t="inlineStr">
        <is>
          <t>0000936468-19-000058</t>
        </is>
      </c>
      <c r="K67" t="inlineStr">
        <is>
          <t>2019-07-23</t>
        </is>
      </c>
    </row>
    <row r="68">
      <c r="A68" t="inlineStr">
        <is>
          <t>LMT</t>
        </is>
      </c>
      <c r="B68" t="inlineStr">
        <is>
          <t>2019Q3</t>
        </is>
      </c>
      <c r="C68" t="inlineStr">
        <is>
          <t>2019-09-29</t>
        </is>
      </c>
      <c r="D68" s="3" t="n">
        <v>137400000000</v>
      </c>
      <c r="E68" t="inlineStr">
        <is>
          <t>0000936468-19-000069</t>
        </is>
      </c>
      <c r="F68" t="inlineStr">
        <is>
          <t>2019-10-24</t>
        </is>
      </c>
      <c r="G68" s="3" t="n">
        <v>15171000000</v>
      </c>
      <c r="H68" t="inlineStr">
        <is>
          <t>reported_3m</t>
        </is>
      </c>
      <c r="I68" t="inlineStr">
        <is>
          <t>Revenues</t>
        </is>
      </c>
      <c r="J68" t="inlineStr">
        <is>
          <t>0000936468-19-000069</t>
        </is>
      </c>
      <c r="K68" t="inlineStr">
        <is>
          <t>2019-10-24</t>
        </is>
      </c>
    </row>
    <row r="69">
      <c r="A69" t="inlineStr">
        <is>
          <t>LMT</t>
        </is>
      </c>
      <c r="B69" t="inlineStr">
        <is>
          <t>2019Q4</t>
        </is>
      </c>
      <c r="C69" t="inlineStr">
        <is>
          <t>2019-12-31</t>
        </is>
      </c>
      <c r="D69" s="3" t="n">
        <v>144000000000</v>
      </c>
      <c r="E69" t="inlineStr">
        <is>
          <t>0000936468-20-000016</t>
        </is>
      </c>
      <c r="F69" t="inlineStr">
        <is>
          <t>2020-02-07</t>
        </is>
      </c>
      <c r="G69" s="3" t="n">
        <v>15878000000</v>
      </c>
      <c r="H69" t="inlineStr">
        <is>
          <t>reported_3m</t>
        </is>
      </c>
      <c r="I69" t="inlineStr">
        <is>
          <t>Revenues</t>
        </is>
      </c>
      <c r="J69" t="inlineStr">
        <is>
          <t>0000936468-20-000016</t>
        </is>
      </c>
      <c r="K69" t="inlineStr">
        <is>
          <t>2020-02-07</t>
        </is>
      </c>
    </row>
    <row r="70">
      <c r="A70" t="inlineStr">
        <is>
          <t>LMT</t>
        </is>
      </c>
      <c r="B70" t="inlineStr">
        <is>
          <t>2020Q1</t>
        </is>
      </c>
      <c r="C70" t="inlineStr">
        <is>
          <t>2020-03-29</t>
        </is>
      </c>
      <c r="D70" s="3" t="n">
        <v>144100000000</v>
      </c>
      <c r="E70" t="inlineStr">
        <is>
          <t>0000936468-20-000056</t>
        </is>
      </c>
      <c r="F70" t="inlineStr">
        <is>
          <t>2020-04-22</t>
        </is>
      </c>
      <c r="G70" s="3" t="n">
        <v>15651000000</v>
      </c>
      <c r="H70" t="inlineStr">
        <is>
          <t>reported_3m</t>
        </is>
      </c>
      <c r="I70" t="inlineStr">
        <is>
          <t>Revenues</t>
        </is>
      </c>
      <c r="J70" t="inlineStr">
        <is>
          <t>0000936468-20-000056</t>
        </is>
      </c>
      <c r="K70" t="inlineStr">
        <is>
          <t>2020-04-22</t>
        </is>
      </c>
    </row>
    <row r="71">
      <c r="A71" t="inlineStr">
        <is>
          <t>LMT</t>
        </is>
      </c>
      <c r="B71" t="inlineStr">
        <is>
          <t>2020Q2</t>
        </is>
      </c>
      <c r="C71" t="inlineStr">
        <is>
          <t>2020-06-28</t>
        </is>
      </c>
      <c r="D71" s="3" t="n">
        <v>150300000000</v>
      </c>
      <c r="E71" t="inlineStr">
        <is>
          <t>0000936468-20-000115</t>
        </is>
      </c>
      <c r="F71" t="inlineStr">
        <is>
          <t>2020-07-21</t>
        </is>
      </c>
      <c r="G71" s="3" t="n">
        <v>16220000000</v>
      </c>
      <c r="H71" t="inlineStr">
        <is>
          <t>reported_3m</t>
        </is>
      </c>
      <c r="I71" t="inlineStr">
        <is>
          <t>Revenues</t>
        </is>
      </c>
      <c r="J71" t="inlineStr">
        <is>
          <t>0000936468-20-000115</t>
        </is>
      </c>
      <c r="K71" t="inlineStr">
        <is>
          <t>2020-07-21</t>
        </is>
      </c>
    </row>
    <row r="72">
      <c r="A72" t="inlineStr">
        <is>
          <t>LMT</t>
        </is>
      </c>
      <c r="B72" t="inlineStr">
        <is>
          <t>2020Q3</t>
        </is>
      </c>
      <c r="C72" t="inlineStr">
        <is>
          <t>2020-09-27</t>
        </is>
      </c>
      <c r="D72" s="3" t="n">
        <v>150400000000</v>
      </c>
      <c r="E72" t="inlineStr">
        <is>
          <t>0000936468-20-000125</t>
        </is>
      </c>
      <c r="F72" t="inlineStr">
        <is>
          <t>2020-10-22</t>
        </is>
      </c>
      <c r="G72" s="3" t="n">
        <v>16495000000</v>
      </c>
      <c r="H72" t="inlineStr">
        <is>
          <t>reported_3m</t>
        </is>
      </c>
      <c r="I72" t="inlineStr">
        <is>
          <t>Revenues</t>
        </is>
      </c>
      <c r="J72" t="inlineStr">
        <is>
          <t>0000936468-20-000125</t>
        </is>
      </c>
      <c r="K72" t="inlineStr">
        <is>
          <t>2020-10-22</t>
        </is>
      </c>
    </row>
    <row r="73">
      <c r="A73" t="inlineStr">
        <is>
          <t>LMT</t>
        </is>
      </c>
      <c r="B73" t="inlineStr">
        <is>
          <t>2020Q4</t>
        </is>
      </c>
      <c r="C73" t="inlineStr">
        <is>
          <t>2020-12-31</t>
        </is>
      </c>
      <c r="D73" s="3" t="n">
        <v>147100000000</v>
      </c>
      <c r="E73" t="inlineStr">
        <is>
          <t>0000936468-21-000013</t>
        </is>
      </c>
      <c r="F73" t="inlineStr">
        <is>
          <t>2021-01-28</t>
        </is>
      </c>
      <c r="G73" s="3" t="n">
        <v>17032000000</v>
      </c>
      <c r="H73" t="inlineStr">
        <is>
          <t>reported_3m</t>
        </is>
      </c>
      <c r="I73" t="inlineStr">
        <is>
          <t>Revenues</t>
        </is>
      </c>
      <c r="J73" t="inlineStr">
        <is>
          <t>0000936468-21-000013</t>
        </is>
      </c>
      <c r="K73" t="inlineStr">
        <is>
          <t>2021-01-28</t>
        </is>
      </c>
    </row>
    <row r="74">
      <c r="A74" t="inlineStr">
        <is>
          <t>LMT</t>
        </is>
      </c>
      <c r="B74" t="inlineStr">
        <is>
          <t>2021Q1</t>
        </is>
      </c>
      <c r="C74" t="inlineStr">
        <is>
          <t>2021-03-28</t>
        </is>
      </c>
      <c r="D74" s="3" t="n">
        <v>147400000000</v>
      </c>
      <c r="E74" t="inlineStr">
        <is>
          <t>0000936468-21-000044</t>
        </is>
      </c>
      <c r="F74" t="inlineStr">
        <is>
          <t>2021-04-21</t>
        </is>
      </c>
      <c r="G74" s="3" t="n">
        <v>16258000000</v>
      </c>
      <c r="H74" t="inlineStr">
        <is>
          <t>reported_3m</t>
        </is>
      </c>
      <c r="I74" t="inlineStr">
        <is>
          <t>Revenues</t>
        </is>
      </c>
      <c r="J74" t="inlineStr">
        <is>
          <t>0000936468-21-000044</t>
        </is>
      </c>
      <c r="K74" t="inlineStr">
        <is>
          <t>2021-04-21</t>
        </is>
      </c>
    </row>
    <row r="75">
      <c r="A75" t="inlineStr">
        <is>
          <t>LMT</t>
        </is>
      </c>
      <c r="B75" t="inlineStr">
        <is>
          <t>2021Q2</t>
        </is>
      </c>
      <c r="C75" t="inlineStr">
        <is>
          <t>2021-06-27</t>
        </is>
      </c>
      <c r="D75" s="3" t="n">
        <v>141700000000</v>
      </c>
      <c r="E75" t="inlineStr">
        <is>
          <t>0000936468-21-000072</t>
        </is>
      </c>
      <c r="F75" t="inlineStr">
        <is>
          <t>2021-07-26</t>
        </is>
      </c>
      <c r="G75" s="3" t="n">
        <v>17029000000</v>
      </c>
      <c r="H75" t="inlineStr">
        <is>
          <t>reported_3m</t>
        </is>
      </c>
      <c r="I75" t="inlineStr">
        <is>
          <t>Revenues</t>
        </is>
      </c>
      <c r="J75" t="inlineStr">
        <is>
          <t>0000936468-21-000072</t>
        </is>
      </c>
      <c r="K75" t="inlineStr">
        <is>
          <t>2021-07-26</t>
        </is>
      </c>
    </row>
    <row r="76">
      <c r="A76" t="inlineStr">
        <is>
          <t>LMT</t>
        </is>
      </c>
      <c r="B76" t="inlineStr">
        <is>
          <t>2021Q3</t>
        </is>
      </c>
      <c r="C76" t="inlineStr">
        <is>
          <t>2021-09-26</t>
        </is>
      </c>
      <c r="D76" s="3" t="n">
        <v>134800000000</v>
      </c>
      <c r="E76" t="inlineStr">
        <is>
          <t>0000936468-21-000101</t>
        </is>
      </c>
      <c r="F76" t="inlineStr">
        <is>
          <t>2021-10-26</t>
        </is>
      </c>
      <c r="G76" s="3" t="n">
        <v>16028000000</v>
      </c>
      <c r="H76" t="inlineStr">
        <is>
          <t>reported_3m</t>
        </is>
      </c>
      <c r="I76" t="inlineStr">
        <is>
          <t>Revenues</t>
        </is>
      </c>
      <c r="J76" t="inlineStr">
        <is>
          <t>0000936468-21-000101</t>
        </is>
      </c>
      <c r="K76" t="inlineStr">
        <is>
          <t>2021-10-26</t>
        </is>
      </c>
    </row>
    <row r="77">
      <c r="A77" t="inlineStr">
        <is>
          <t>LMT</t>
        </is>
      </c>
      <c r="B77" t="inlineStr">
        <is>
          <t>2021Q4</t>
        </is>
      </c>
      <c r="C77" t="inlineStr">
        <is>
          <t>2021-12-31</t>
        </is>
      </c>
      <c r="D77" s="3" t="n">
        <v>135400000000</v>
      </c>
      <c r="E77" t="inlineStr">
        <is>
          <t>0000936468-22-000008</t>
        </is>
      </c>
      <c r="F77" t="inlineStr">
        <is>
          <t>2022-01-25</t>
        </is>
      </c>
      <c r="G77" s="3" t="n">
        <v>17729000000</v>
      </c>
      <c r="H77" t="inlineStr">
        <is>
          <t>fy_minus_9m</t>
        </is>
      </c>
      <c r="I77" t="inlineStr">
        <is>
          <t>Revenues</t>
        </is>
      </c>
      <c r="J77" t="inlineStr">
        <is>
          <t>0000936468-22-000008</t>
        </is>
      </c>
      <c r="K77" t="inlineStr">
        <is>
          <t>2022-01-25</t>
        </is>
      </c>
    </row>
    <row r="78">
      <c r="A78" t="inlineStr">
        <is>
          <t>LMT</t>
        </is>
      </c>
      <c r="B78" t="inlineStr">
        <is>
          <t>2022Q1</t>
        </is>
      </c>
      <c r="C78" t="inlineStr">
        <is>
          <t>2022-03-27</t>
        </is>
      </c>
      <c r="D78" s="3" t="n">
        <v>134200000000</v>
      </c>
      <c r="E78" t="inlineStr">
        <is>
          <t>0000936468-22-000048</t>
        </is>
      </c>
      <c r="F78" t="inlineStr">
        <is>
          <t>2022-04-20</t>
        </is>
      </c>
      <c r="G78" s="3" t="n">
        <v>14964000000</v>
      </c>
      <c r="H78" t="inlineStr">
        <is>
          <t>reported_3m</t>
        </is>
      </c>
      <c r="I78" t="inlineStr">
        <is>
          <t>Revenues</t>
        </is>
      </c>
      <c r="J78" t="inlineStr">
        <is>
          <t>0000936468-22-000048</t>
        </is>
      </c>
      <c r="K78" t="inlineStr">
        <is>
          <t>2022-04-20</t>
        </is>
      </c>
    </row>
    <row r="79">
      <c r="A79" t="inlineStr">
        <is>
          <t>LMT</t>
        </is>
      </c>
      <c r="B79" t="inlineStr">
        <is>
          <t>2022Q2</t>
        </is>
      </c>
      <c r="C79" t="inlineStr">
        <is>
          <t>2022-06-26</t>
        </is>
      </c>
      <c r="D79" s="3" t="n">
        <v>134600000000</v>
      </c>
      <c r="E79" t="inlineStr">
        <is>
          <t>0000936468-22-000096</t>
        </is>
      </c>
      <c r="F79" t="inlineStr">
        <is>
          <t>2022-07-19</t>
        </is>
      </c>
      <c r="G79" s="3" t="n">
        <v>15446000000</v>
      </c>
      <c r="H79" t="inlineStr">
        <is>
          <t>reported_3m</t>
        </is>
      </c>
      <c r="I79" t="inlineStr">
        <is>
          <t>Revenues</t>
        </is>
      </c>
      <c r="J79" t="inlineStr">
        <is>
          <t>0000936468-22-000096</t>
        </is>
      </c>
      <c r="K79" t="inlineStr">
        <is>
          <t>2022-07-19</t>
        </is>
      </c>
    </row>
    <row r="80">
      <c r="A80" t="inlineStr">
        <is>
          <t>LMT</t>
        </is>
      </c>
      <c r="B80" t="inlineStr">
        <is>
          <t>2022Q3</t>
        </is>
      </c>
      <c r="C80" t="inlineStr">
        <is>
          <t>2022-09-25</t>
        </is>
      </c>
      <c r="D80" s="3" t="n">
        <v>139700000000</v>
      </c>
      <c r="E80" t="inlineStr">
        <is>
          <t>0000936468-22-000120</t>
        </is>
      </c>
      <c r="F80" t="inlineStr">
        <is>
          <t>2022-10-18</t>
        </is>
      </c>
      <c r="G80" s="3" t="n">
        <v>16583000000</v>
      </c>
      <c r="H80" t="inlineStr">
        <is>
          <t>reported_3m</t>
        </is>
      </c>
      <c r="I80" t="inlineStr">
        <is>
          <t>Revenues</t>
        </is>
      </c>
      <c r="J80" t="inlineStr">
        <is>
          <t>0000936468-22-000120</t>
        </is>
      </c>
      <c r="K80" t="inlineStr">
        <is>
          <t>2022-10-18</t>
        </is>
      </c>
    </row>
    <row r="81">
      <c r="A81" t="inlineStr">
        <is>
          <t>LMT</t>
        </is>
      </c>
      <c r="B81" t="inlineStr">
        <is>
          <t>2022Q4</t>
        </is>
      </c>
      <c r="C81" t="inlineStr">
        <is>
          <t>2022-12-31</t>
        </is>
      </c>
      <c r="D81" s="3" t="n">
        <v>150000000000</v>
      </c>
      <c r="E81" t="inlineStr">
        <is>
          <t>0000936468-23-000009</t>
        </is>
      </c>
      <c r="F81" t="inlineStr">
        <is>
          <t>2023-01-26</t>
        </is>
      </c>
      <c r="G81" s="3" t="n">
        <v>18991000000</v>
      </c>
      <c r="H81" t="inlineStr">
        <is>
          <t>fy_minus_9m</t>
        </is>
      </c>
      <c r="I81" t="inlineStr">
        <is>
          <t>Revenues</t>
        </is>
      </c>
      <c r="J81" t="inlineStr">
        <is>
          <t>0000936468-23-000009</t>
        </is>
      </c>
      <c r="K81" t="inlineStr">
        <is>
          <t>2023-01-26</t>
        </is>
      </c>
    </row>
    <row r="82">
      <c r="A82" t="inlineStr">
        <is>
          <t>LMT</t>
        </is>
      </c>
      <c r="B82" t="inlineStr">
        <is>
          <t>2023Q1</t>
        </is>
      </c>
      <c r="C82" t="inlineStr">
        <is>
          <t>2023-03-26</t>
        </is>
      </c>
      <c r="D82" s="3" t="n">
        <v>145100000000</v>
      </c>
      <c r="E82" t="inlineStr">
        <is>
          <t>0000936468-23-000051</t>
        </is>
      </c>
      <c r="F82" t="inlineStr">
        <is>
          <t>2023-04-18</t>
        </is>
      </c>
      <c r="G82" s="3" t="n">
        <v>15126000000</v>
      </c>
      <c r="H82" t="inlineStr">
        <is>
          <t>reported_3m</t>
        </is>
      </c>
      <c r="I82" t="inlineStr">
        <is>
          <t>Revenues</t>
        </is>
      </c>
      <c r="J82" t="inlineStr">
        <is>
          <t>0000936468-23-000051</t>
        </is>
      </c>
      <c r="K82" t="inlineStr">
        <is>
          <t>2023-04-18</t>
        </is>
      </c>
    </row>
    <row r="83">
      <c r="A83" t="inlineStr">
        <is>
          <t>LMT</t>
        </is>
      </c>
      <c r="B83" t="inlineStr">
        <is>
          <t>2023Q2</t>
        </is>
      </c>
      <c r="C83" t="inlineStr">
        <is>
          <t>2023-06-25</t>
        </is>
      </c>
      <c r="D83" s="3" t="n">
        <v>158000000000</v>
      </c>
      <c r="E83" t="inlineStr">
        <is>
          <t>0000936468-23-000099</t>
        </is>
      </c>
      <c r="F83" t="inlineStr">
        <is>
          <t>2023-07-19</t>
        </is>
      </c>
      <c r="G83" s="3" t="n">
        <v>16693000000</v>
      </c>
      <c r="H83" t="inlineStr">
        <is>
          <t>reported_3m</t>
        </is>
      </c>
      <c r="I83" t="inlineStr">
        <is>
          <t>Revenues</t>
        </is>
      </c>
      <c r="J83" t="inlineStr">
        <is>
          <t>0000936468-23-000099</t>
        </is>
      </c>
      <c r="K83" t="inlineStr">
        <is>
          <t>2023-07-19</t>
        </is>
      </c>
    </row>
    <row r="84">
      <c r="A84" t="inlineStr">
        <is>
          <t>LMT</t>
        </is>
      </c>
      <c r="B84" t="inlineStr">
        <is>
          <t>2023Q3</t>
        </is>
      </c>
      <c r="C84" t="inlineStr">
        <is>
          <t>2023-09-24</t>
        </is>
      </c>
      <c r="D84" s="3" t="n">
        <v>156000000000</v>
      </c>
      <c r="E84" t="inlineStr">
        <is>
          <t>0000936468-23-000123</t>
        </is>
      </c>
      <c r="F84" t="inlineStr">
        <is>
          <t>2023-10-17</t>
        </is>
      </c>
      <c r="G84" s="3" t="n">
        <v>16878000000</v>
      </c>
      <c r="H84" t="inlineStr">
        <is>
          <t>reported_3m</t>
        </is>
      </c>
      <c r="I84" t="inlineStr">
        <is>
          <t>Revenues</t>
        </is>
      </c>
      <c r="J84" t="inlineStr">
        <is>
          <t>0000936468-23-000123</t>
        </is>
      </c>
      <c r="K84" t="inlineStr">
        <is>
          <t>2023-10-17</t>
        </is>
      </c>
    </row>
    <row r="85">
      <c r="A85" t="inlineStr">
        <is>
          <t>LMT</t>
        </is>
      </c>
      <c r="B85" t="inlineStr">
        <is>
          <t>2023Q4</t>
        </is>
      </c>
      <c r="C85" t="inlineStr">
        <is>
          <t>2023-12-31</t>
        </is>
      </c>
      <c r="D85" s="3" t="n">
        <v>160600000000</v>
      </c>
      <c r="E85" t="inlineStr">
        <is>
          <t>0000936468-24-000010</t>
        </is>
      </c>
      <c r="F85" t="inlineStr">
        <is>
          <t>2024-01-23</t>
        </is>
      </c>
      <c r="G85" s="3" t="n">
        <v>18874000000</v>
      </c>
      <c r="H85" t="inlineStr">
        <is>
          <t>fy_minus_9m</t>
        </is>
      </c>
      <c r="I85" t="inlineStr">
        <is>
          <t>Revenues</t>
        </is>
      </c>
      <c r="J85" t="inlineStr">
        <is>
          <t>0000936468-24-000010</t>
        </is>
      </c>
      <c r="K85" t="inlineStr">
        <is>
          <t>2024-01-23</t>
        </is>
      </c>
    </row>
    <row r="86">
      <c r="A86" t="inlineStr">
        <is>
          <t>LMT</t>
        </is>
      </c>
      <c r="B86" t="inlineStr">
        <is>
          <t>2024Q1</t>
        </is>
      </c>
      <c r="C86" t="inlineStr">
        <is>
          <t>2024-03-31</t>
        </is>
      </c>
      <c r="D86" s="3" t="n">
        <v>159400000000</v>
      </c>
      <c r="E86" t="inlineStr">
        <is>
          <t>0000936468-24-000052</t>
        </is>
      </c>
      <c r="F86" t="inlineStr">
        <is>
          <t>2024-04-23</t>
        </is>
      </c>
      <c r="G86" s="3" t="n">
        <v>17195000000</v>
      </c>
      <c r="H86" t="inlineStr">
        <is>
          <t>reported_3m</t>
        </is>
      </c>
      <c r="I86" t="inlineStr">
        <is>
          <t>Revenues</t>
        </is>
      </c>
      <c r="J86" t="inlineStr">
        <is>
          <t>0000936468-24-000052</t>
        </is>
      </c>
      <c r="K86" t="inlineStr">
        <is>
          <t>2024-04-23</t>
        </is>
      </c>
    </row>
    <row r="87">
      <c r="A87" t="inlineStr">
        <is>
          <t>LMT</t>
        </is>
      </c>
      <c r="B87" t="inlineStr">
        <is>
          <t>2024Q2</t>
        </is>
      </c>
      <c r="C87" t="inlineStr">
        <is>
          <t>2024-06-30</t>
        </is>
      </c>
      <c r="D87" s="3" t="n">
        <v>158300000000</v>
      </c>
      <c r="E87" t="inlineStr">
        <is>
          <t>0000936468-24-000095</t>
        </is>
      </c>
      <c r="F87" t="inlineStr">
        <is>
          <t>2024-07-23</t>
        </is>
      </c>
      <c r="G87" s="3" t="n">
        <v>18122000000</v>
      </c>
      <c r="H87" t="inlineStr">
        <is>
          <t>reported_3m</t>
        </is>
      </c>
      <c r="I87" t="inlineStr">
        <is>
          <t>Revenues</t>
        </is>
      </c>
      <c r="J87" t="inlineStr">
        <is>
          <t>0000936468-24-000095</t>
        </is>
      </c>
      <c r="K87" t="inlineStr">
        <is>
          <t>2024-07-23</t>
        </is>
      </c>
    </row>
    <row r="88">
      <c r="A88" t="inlineStr">
        <is>
          <t>LMT</t>
        </is>
      </c>
      <c r="B88" t="inlineStr">
        <is>
          <t>2024Q3</t>
        </is>
      </c>
      <c r="C88" t="inlineStr">
        <is>
          <t>2024-09-29</t>
        </is>
      </c>
      <c r="D88" s="3" t="n">
        <v>165700000000</v>
      </c>
      <c r="E88" t="inlineStr">
        <is>
          <t>0000936468-24-000110</t>
        </is>
      </c>
      <c r="F88" t="inlineStr">
        <is>
          <t>2024-10-22</t>
        </is>
      </c>
      <c r="G88" s="3" t="n">
        <v>17104000000</v>
      </c>
      <c r="H88" t="inlineStr">
        <is>
          <t>reported_3m</t>
        </is>
      </c>
      <c r="I88" t="inlineStr">
        <is>
          <t>Revenues</t>
        </is>
      </c>
      <c r="J88" t="inlineStr">
        <is>
          <t>0000936468-24-000110</t>
        </is>
      </c>
      <c r="K88" t="inlineStr">
        <is>
          <t>2024-10-22</t>
        </is>
      </c>
    </row>
    <row r="89">
      <c r="A89" t="inlineStr">
        <is>
          <t>LMT</t>
        </is>
      </c>
      <c r="B89" t="inlineStr">
        <is>
          <t>2024Q4</t>
        </is>
      </c>
      <c r="C89" t="inlineStr">
        <is>
          <t>2024-12-31</t>
        </is>
      </c>
      <c r="D89" s="3" t="n">
        <v>176000000000</v>
      </c>
      <c r="E89" t="inlineStr">
        <is>
          <t>0000936468-25-000009</t>
        </is>
      </c>
      <c r="F89" t="inlineStr">
        <is>
          <t>2025-01-28</t>
        </is>
      </c>
      <c r="G89" s="3" t="n">
        <v>18622000000</v>
      </c>
      <c r="H89" t="inlineStr">
        <is>
          <t>fy_minus_9m</t>
        </is>
      </c>
      <c r="I89" t="inlineStr">
        <is>
          <t>Revenues</t>
        </is>
      </c>
      <c r="J89" t="inlineStr">
        <is>
          <t>0000936468-25-000009</t>
        </is>
      </c>
      <c r="K89" t="inlineStr">
        <is>
          <t>2025-01-28</t>
        </is>
      </c>
    </row>
    <row r="90">
      <c r="A90" t="inlineStr">
        <is>
          <t>LMT</t>
        </is>
      </c>
      <c r="B90" t="inlineStr">
        <is>
          <t>2025Q1</t>
        </is>
      </c>
      <c r="C90" t="inlineStr">
        <is>
          <t>2025-03-30</t>
        </is>
      </c>
      <c r="D90" s="3" t="n">
        <v>173000000000</v>
      </c>
      <c r="E90" t="inlineStr">
        <is>
          <t>0000936468-25-000035</t>
        </is>
      </c>
      <c r="F90" t="inlineStr">
        <is>
          <t>2025-04-22</t>
        </is>
      </c>
      <c r="G90" s="3" t="n">
        <v>17963000000</v>
      </c>
      <c r="H90" t="inlineStr">
        <is>
          <t>reported_3m</t>
        </is>
      </c>
      <c r="I90" t="inlineStr">
        <is>
          <t>Revenues</t>
        </is>
      </c>
      <c r="J90" t="inlineStr">
        <is>
          <t>0000936468-25-000035</t>
        </is>
      </c>
      <c r="K90" t="inlineStr">
        <is>
          <t>2025-04-22</t>
        </is>
      </c>
    </row>
    <row r="91">
      <c r="A91" t="inlineStr">
        <is>
          <t>LMT</t>
        </is>
      </c>
      <c r="B91" t="inlineStr">
        <is>
          <t>2025Q2</t>
        </is>
      </c>
      <c r="C91" t="inlineStr">
        <is>
          <t>2025-06-29</t>
        </is>
      </c>
      <c r="D91" s="3" t="n">
        <v>166500000000</v>
      </c>
      <c r="E91" t="inlineStr">
        <is>
          <t>0001628280-25-035565</t>
        </is>
      </c>
      <c r="F91" t="inlineStr">
        <is>
          <t>2025-07-22</t>
        </is>
      </c>
      <c r="G91" s="3" t="n">
        <v>18155000000</v>
      </c>
      <c r="H91" t="inlineStr">
        <is>
          <t>reported_3m</t>
        </is>
      </c>
      <c r="I91" t="inlineStr">
        <is>
          <t>Revenues</t>
        </is>
      </c>
      <c r="J91" t="inlineStr">
        <is>
          <t>0001628280-25-035565</t>
        </is>
      </c>
      <c r="K91" t="inlineStr">
        <is>
          <t>2025-07-22</t>
        </is>
      </c>
    </row>
    <row r="92">
      <c r="A92" t="inlineStr">
        <is>
          <t>LMT</t>
        </is>
      </c>
      <c r="B92" t="inlineStr">
        <is>
          <t>2025Q3</t>
        </is>
      </c>
      <c r="C92" t="inlineStr">
        <is>
          <t>2025-09-28</t>
        </is>
      </c>
      <c r="D92" s="3" t="n">
        <v>179100000000</v>
      </c>
      <c r="E92" t="inlineStr">
        <is>
          <t>0001628280-25-045693</t>
        </is>
      </c>
      <c r="F92" t="inlineStr">
        <is>
          <t>2025-10-21</t>
        </is>
      </c>
      <c r="G92" s="3" t="n">
        <v>18609000000</v>
      </c>
      <c r="H92" t="inlineStr">
        <is>
          <t>reported_3m</t>
        </is>
      </c>
      <c r="I92" t="inlineStr">
        <is>
          <t>Revenues</t>
        </is>
      </c>
      <c r="J92" t="inlineStr">
        <is>
          <t>0001628280-25-045693</t>
        </is>
      </c>
      <c r="K92" t="inlineStr">
        <is>
          <t>2025-10-21</t>
        </is>
      </c>
    </row>
    <row r="93">
      <c r="A93" t="inlineStr">
        <is>
          <t>LMT</t>
        </is>
      </c>
      <c r="B93" t="inlineStr">
        <is>
          <t>2025Q4</t>
        </is>
      </c>
      <c r="C93" t="inlineStr">
        <is>
          <t>2025-12-31</t>
        </is>
      </c>
      <c r="D93" s="3" t="n">
        <v>193600000000</v>
      </c>
      <c r="E93" t="inlineStr">
        <is>
          <t>0001628280-26-004195</t>
        </is>
      </c>
      <c r="F93" t="inlineStr">
        <is>
          <t>2026-01-29</t>
        </is>
      </c>
      <c r="G93" s="3" t="n">
        <v>20321000000</v>
      </c>
      <c r="H93" t="inlineStr">
        <is>
          <t>fy_minus_9m</t>
        </is>
      </c>
      <c r="I93" t="inlineStr">
        <is>
          <t>Revenues</t>
        </is>
      </c>
      <c r="J93" t="inlineStr">
        <is>
          <t>0001628280-26-004195</t>
        </is>
      </c>
      <c r="K93" t="inlineStr">
        <is>
          <t>2026-01-29</t>
        </is>
      </c>
    </row>
    <row r="94">
      <c r="A94" t="inlineStr">
        <is>
          <t>LMT</t>
        </is>
      </c>
      <c r="B94" t="inlineStr">
        <is>
          <t>2026Q1</t>
        </is>
      </c>
      <c r="C94" t="inlineStr">
        <is>
          <t>2026-03-29</t>
        </is>
      </c>
      <c r="D94" s="3" t="n">
        <v>186400000000</v>
      </c>
      <c r="E94" t="inlineStr">
        <is>
          <t>0001628280-26-026836</t>
        </is>
      </c>
      <c r="F94" t="inlineStr">
        <is>
          <t>2026-04-23</t>
        </is>
      </c>
      <c r="G94" s="3" t="n">
        <v>18021000000</v>
      </c>
      <c r="H94" t="inlineStr">
        <is>
          <t>reported_3m</t>
        </is>
      </c>
      <c r="I94" t="inlineStr">
        <is>
          <t>Revenues</t>
        </is>
      </c>
      <c r="J94" t="inlineStr">
        <is>
          <t>0001628280-26-026836</t>
        </is>
      </c>
      <c r="K94" t="inlineStr">
        <is>
          <t>2026-04-23</t>
        </is>
      </c>
    </row>
    <row r="95">
      <c r="A95" t="inlineStr">
        <is>
          <t>LMT</t>
        </is>
      </c>
      <c r="B95" t="inlineStr">
        <is>
          <t>2026Q2</t>
        </is>
      </c>
      <c r="C95" t="inlineStr">
        <is>
          <t>2026-06-28</t>
        </is>
      </c>
      <c r="D95" s="3" t="n">
        <v>230400000000</v>
      </c>
      <c r="E95" t="inlineStr">
        <is>
          <t>0001628280-26-049411</t>
        </is>
      </c>
      <c r="F95" t="inlineStr">
        <is>
          <t>2026-07-23</t>
        </is>
      </c>
      <c r="G95" s="3" t="n">
        <v>20063000000</v>
      </c>
      <c r="H95" t="inlineStr">
        <is>
          <t>reported_3m</t>
        </is>
      </c>
      <c r="I95" t="inlineStr">
        <is>
          <t>Revenues</t>
        </is>
      </c>
      <c r="J95" t="inlineStr">
        <is>
          <t>0001628280-26-049411</t>
        </is>
      </c>
      <c r="K95" t="inlineStr">
        <is>
          <t>2026-07-23</t>
        </is>
      </c>
    </row>
    <row r="96">
      <c r="A96" t="inlineStr">
        <is>
          <t>NOC</t>
        </is>
      </c>
      <c r="B96" t="inlineStr">
        <is>
          <t>2018Q3</t>
        </is>
      </c>
      <c r="C96" t="inlineStr">
        <is>
          <t>2018-09-30</t>
        </is>
      </c>
      <c r="D96" s="3" t="n">
        <v>52600000000</v>
      </c>
      <c r="E96" t="inlineStr">
        <is>
          <t>0001133421-18-000048</t>
        </is>
      </c>
      <c r="F96" t="inlineStr">
        <is>
          <t>2018-10-24</t>
        </is>
      </c>
      <c r="G96" s="3" t="n">
        <v>8085000000</v>
      </c>
      <c r="H96" t="inlineStr">
        <is>
          <t>reported_3m</t>
        </is>
      </c>
      <c r="I96" t="inlineStr">
        <is>
          <t>Revenues</t>
        </is>
      </c>
      <c r="J96" t="inlineStr">
        <is>
          <t>0001133421-18-000048</t>
        </is>
      </c>
      <c r="K96" t="inlineStr">
        <is>
          <t>2018-10-24</t>
        </is>
      </c>
    </row>
    <row r="97">
      <c r="A97" t="inlineStr">
        <is>
          <t>NOC</t>
        </is>
      </c>
      <c r="B97" t="inlineStr">
        <is>
          <t>2018Q4</t>
        </is>
      </c>
      <c r="C97" t="inlineStr">
        <is>
          <t>2018-12-31</t>
        </is>
      </c>
      <c r="D97" s="3" t="n">
        <v>53500000000</v>
      </c>
      <c r="E97" t="inlineStr">
        <is>
          <t>0001133421-19-000007</t>
        </is>
      </c>
      <c r="F97" t="inlineStr">
        <is>
          <t>2019-01-31</t>
        </is>
      </c>
      <c r="G97" s="3" t="n">
        <v>8156000000</v>
      </c>
      <c r="H97" t="inlineStr">
        <is>
          <t>reported_3m</t>
        </is>
      </c>
      <c r="I97" t="inlineStr">
        <is>
          <t>Revenues</t>
        </is>
      </c>
      <c r="J97" t="inlineStr">
        <is>
          <t>0001133421-19-000007</t>
        </is>
      </c>
      <c r="K97" t="inlineStr">
        <is>
          <t>2019-01-31</t>
        </is>
      </c>
    </row>
    <row r="98">
      <c r="A98" t="inlineStr">
        <is>
          <t>NOC</t>
        </is>
      </c>
      <c r="B98" t="inlineStr">
        <is>
          <t>2019Q1</t>
        </is>
      </c>
      <c r="C98" t="inlineStr">
        <is>
          <t>2019-03-31</t>
        </is>
      </c>
      <c r="D98" s="3" t="n">
        <v>57300000000</v>
      </c>
      <c r="E98" t="inlineStr">
        <is>
          <t>0001133421-19-000021</t>
        </is>
      </c>
      <c r="F98" t="inlineStr">
        <is>
          <t>2019-04-24</t>
        </is>
      </c>
      <c r="G98" s="3" t="n">
        <v>8189000000</v>
      </c>
      <c r="H98" t="inlineStr">
        <is>
          <t>reported_3m</t>
        </is>
      </c>
      <c r="I98" t="inlineStr">
        <is>
          <t>Revenues</t>
        </is>
      </c>
      <c r="J98" t="inlineStr">
        <is>
          <t>0001133421-19-000021</t>
        </is>
      </c>
      <c r="K98" t="inlineStr">
        <is>
          <t>2019-04-24</t>
        </is>
      </c>
    </row>
    <row r="99">
      <c r="A99" t="inlineStr">
        <is>
          <t>NOC</t>
        </is>
      </c>
      <c r="B99" t="inlineStr">
        <is>
          <t>2019Q2</t>
        </is>
      </c>
      <c r="C99" t="inlineStr">
        <is>
          <t>2019-06-30</t>
        </is>
      </c>
      <c r="D99" s="3" t="n">
        <v>63000000000</v>
      </c>
      <c r="E99" t="inlineStr">
        <is>
          <t>0001133421-19-000047</t>
        </is>
      </c>
      <c r="F99" t="inlineStr">
        <is>
          <t>2019-07-24</t>
        </is>
      </c>
      <c r="G99" s="3" t="n">
        <v>8456000000</v>
      </c>
      <c r="H99" t="inlineStr">
        <is>
          <t>reported_3m</t>
        </is>
      </c>
      <c r="I99" t="inlineStr">
        <is>
          <t>Revenues</t>
        </is>
      </c>
      <c r="J99" t="inlineStr">
        <is>
          <t>0001133421-19-000047</t>
        </is>
      </c>
      <c r="K99" t="inlineStr">
        <is>
          <t>2019-07-24</t>
        </is>
      </c>
    </row>
    <row r="100">
      <c r="A100" t="inlineStr">
        <is>
          <t>NOC</t>
        </is>
      </c>
      <c r="B100" t="inlineStr">
        <is>
          <t>2019Q3</t>
        </is>
      </c>
      <c r="C100" t="inlineStr">
        <is>
          <t>2019-09-30</t>
        </is>
      </c>
      <c r="D100" s="3" t="n">
        <v>65000000000</v>
      </c>
      <c r="E100" t="inlineStr">
        <is>
          <t>0001133421-19-000055</t>
        </is>
      </c>
      <c r="F100" t="inlineStr">
        <is>
          <t>2019-10-24</t>
        </is>
      </c>
      <c r="G100" s="3" t="n">
        <v>8475000000</v>
      </c>
      <c r="H100" t="inlineStr">
        <is>
          <t>reported_3m</t>
        </is>
      </c>
      <c r="I100" t="inlineStr">
        <is>
          <t>Revenues</t>
        </is>
      </c>
      <c r="J100" t="inlineStr">
        <is>
          <t>0001133421-19-000055</t>
        </is>
      </c>
      <c r="K100" t="inlineStr">
        <is>
          <t>2019-10-24</t>
        </is>
      </c>
    </row>
    <row r="101">
      <c r="A101" t="inlineStr">
        <is>
          <t>NOC</t>
        </is>
      </c>
      <c r="B101" t="inlineStr">
        <is>
          <t>2019Q4</t>
        </is>
      </c>
      <c r="C101" t="inlineStr">
        <is>
          <t>2019-12-31</t>
        </is>
      </c>
      <c r="D101" s="3" t="n">
        <v>64800000000</v>
      </c>
      <c r="E101" t="inlineStr">
        <is>
          <t>0001133421-20-000006</t>
        </is>
      </c>
      <c r="F101" t="inlineStr">
        <is>
          <t>2020-01-30</t>
        </is>
      </c>
      <c r="G101" s="3" t="n">
        <v>8721000000</v>
      </c>
      <c r="H101" t="inlineStr">
        <is>
          <t>reported_3m</t>
        </is>
      </c>
      <c r="I101" t="inlineStr">
        <is>
          <t>Revenues</t>
        </is>
      </c>
      <c r="J101" t="inlineStr">
        <is>
          <t>0001133421-20-000006</t>
        </is>
      </c>
      <c r="K101" t="inlineStr">
        <is>
          <t>2020-01-30</t>
        </is>
      </c>
    </row>
    <row r="102">
      <c r="A102" t="inlineStr">
        <is>
          <t>NOC</t>
        </is>
      </c>
      <c r="B102" t="inlineStr">
        <is>
          <t>2020Q1</t>
        </is>
      </c>
      <c r="C102" t="inlineStr">
        <is>
          <t>2020-03-31</t>
        </is>
      </c>
      <c r="D102" s="3" t="n">
        <v>64200000000</v>
      </c>
      <c r="E102" t="inlineStr">
        <is>
          <t>0001133421-20-000019</t>
        </is>
      </c>
      <c r="F102" t="inlineStr">
        <is>
          <t>2020-04-29</t>
        </is>
      </c>
      <c r="G102" s="3" t="n">
        <v>8620000000</v>
      </c>
      <c r="H102" t="inlineStr">
        <is>
          <t>reported_3m</t>
        </is>
      </c>
      <c r="I102" t="inlineStr">
        <is>
          <t>Revenues</t>
        </is>
      </c>
      <c r="J102" t="inlineStr">
        <is>
          <t>0001133421-20-000019</t>
        </is>
      </c>
      <c r="K102" t="inlineStr">
        <is>
          <t>2020-04-29</t>
        </is>
      </c>
    </row>
    <row r="103">
      <c r="A103" t="inlineStr">
        <is>
          <t>NOC</t>
        </is>
      </c>
      <c r="B103" t="inlineStr">
        <is>
          <t>2020Q2</t>
        </is>
      </c>
      <c r="C103" t="inlineStr">
        <is>
          <t>2020-06-30</t>
        </is>
      </c>
      <c r="D103" s="3" t="n">
        <v>70000000000</v>
      </c>
      <c r="E103" t="inlineStr">
        <is>
          <t>0001133421-20-000042</t>
        </is>
      </c>
      <c r="F103" t="inlineStr">
        <is>
          <t>2020-07-30</t>
        </is>
      </c>
      <c r="G103" s="3" t="n">
        <v>8884000000</v>
      </c>
      <c r="H103" t="inlineStr">
        <is>
          <t>reported_3m</t>
        </is>
      </c>
      <c r="I103" t="inlineStr">
        <is>
          <t>Revenues</t>
        </is>
      </c>
      <c r="J103" t="inlineStr">
        <is>
          <t>0001133421-20-000042</t>
        </is>
      </c>
      <c r="K103" t="inlineStr">
        <is>
          <t>2020-07-30</t>
        </is>
      </c>
    </row>
    <row r="104">
      <c r="A104" t="inlineStr">
        <is>
          <t>NOC</t>
        </is>
      </c>
      <c r="B104" t="inlineStr">
        <is>
          <t>2020Q3</t>
        </is>
      </c>
      <c r="C104" t="inlineStr">
        <is>
          <t>2020-09-30</t>
        </is>
      </c>
      <c r="D104" s="3" t="n">
        <v>81300000000</v>
      </c>
      <c r="E104" t="inlineStr">
        <is>
          <t>0001133421-20-000048</t>
        </is>
      </c>
      <c r="F104" t="inlineStr">
        <is>
          <t>2020-10-22</t>
        </is>
      </c>
      <c r="G104" s="3" t="n">
        <v>9083000000</v>
      </c>
      <c r="H104" t="inlineStr">
        <is>
          <t>reported_3m</t>
        </is>
      </c>
      <c r="I104" t="inlineStr">
        <is>
          <t>Revenues</t>
        </is>
      </c>
      <c r="J104" t="inlineStr">
        <is>
          <t>0001133421-20-000048</t>
        </is>
      </c>
      <c r="K104" t="inlineStr">
        <is>
          <t>2020-10-22</t>
        </is>
      </c>
    </row>
    <row r="105">
      <c r="A105" t="inlineStr">
        <is>
          <t>NOC</t>
        </is>
      </c>
      <c r="B105" t="inlineStr">
        <is>
          <t>2020Q4</t>
        </is>
      </c>
      <c r="C105" t="inlineStr">
        <is>
          <t>2020-12-31</t>
        </is>
      </c>
      <c r="D105" s="3" t="n">
        <v>81000000000</v>
      </c>
      <c r="E105" t="inlineStr">
        <is>
          <t>0001133421-21-000006</t>
        </is>
      </c>
      <c r="F105" t="inlineStr">
        <is>
          <t>2021-01-28</t>
        </is>
      </c>
      <c r="G105" s="3" t="n">
        <v>10212000000</v>
      </c>
      <c r="H105" t="inlineStr">
        <is>
          <t>reported_3m</t>
        </is>
      </c>
      <c r="I105" t="inlineStr">
        <is>
          <t>Revenues</t>
        </is>
      </c>
      <c r="J105" t="inlineStr">
        <is>
          <t>0001133421-21-000006</t>
        </is>
      </c>
      <c r="K105" t="inlineStr">
        <is>
          <t>2021-01-28</t>
        </is>
      </c>
    </row>
    <row r="106">
      <c r="A106" t="inlineStr">
        <is>
          <t>NOC</t>
        </is>
      </c>
      <c r="B106" t="inlineStr">
        <is>
          <t>2021Q1</t>
        </is>
      </c>
      <c r="C106" t="inlineStr">
        <is>
          <t>2021-03-31</t>
        </is>
      </c>
      <c r="D106" s="3" t="n">
        <v>79300000000</v>
      </c>
      <c r="E106" t="inlineStr">
        <is>
          <t>0001133421-21-000029</t>
        </is>
      </c>
      <c r="F106" t="inlineStr">
        <is>
          <t>2021-04-29</t>
        </is>
      </c>
      <c r="G106" s="3" t="n">
        <v>9157000000</v>
      </c>
      <c r="H106" t="inlineStr">
        <is>
          <t>reported_3m</t>
        </is>
      </c>
      <c r="I106" t="inlineStr">
        <is>
          <t>Revenues</t>
        </is>
      </c>
      <c r="J106" t="inlineStr">
        <is>
          <t>0001133421-21-000029</t>
        </is>
      </c>
      <c r="K106" t="inlineStr">
        <is>
          <t>2021-04-29</t>
        </is>
      </c>
    </row>
    <row r="107">
      <c r="A107" t="inlineStr">
        <is>
          <t>NOC</t>
        </is>
      </c>
      <c r="B107" t="inlineStr">
        <is>
          <t>2021Q2</t>
        </is>
      </c>
      <c r="C107" t="inlineStr">
        <is>
          <t>2021-06-30</t>
        </is>
      </c>
      <c r="D107" s="3" t="n">
        <v>76600000000</v>
      </c>
      <c r="E107" t="inlineStr">
        <is>
          <t>0001133421-21-000048</t>
        </is>
      </c>
      <c r="F107" t="inlineStr">
        <is>
          <t>2021-07-29</t>
        </is>
      </c>
      <c r="G107" s="3" t="n">
        <v>9151000000</v>
      </c>
      <c r="H107" t="inlineStr">
        <is>
          <t>reported_3m</t>
        </is>
      </c>
      <c r="I107" t="inlineStr">
        <is>
          <t>Revenues</t>
        </is>
      </c>
      <c r="J107" t="inlineStr">
        <is>
          <t>0001133421-21-000048</t>
        </is>
      </c>
      <c r="K107" t="inlineStr">
        <is>
          <t>2021-07-29</t>
        </is>
      </c>
    </row>
    <row r="108">
      <c r="A108" t="inlineStr">
        <is>
          <t>NOC</t>
        </is>
      </c>
      <c r="B108" t="inlineStr">
        <is>
          <t>2021Q3</t>
        </is>
      </c>
      <c r="C108" t="inlineStr">
        <is>
          <t>2021-09-30</t>
        </is>
      </c>
      <c r="D108" s="3" t="n">
        <v>74800000000</v>
      </c>
      <c r="E108" t="inlineStr">
        <is>
          <t>0001133421-21-000056</t>
        </is>
      </c>
      <c r="F108" t="inlineStr">
        <is>
          <t>2021-10-28</t>
        </is>
      </c>
      <c r="G108" s="3" t="n">
        <v>8720000000</v>
      </c>
      <c r="H108" t="inlineStr">
        <is>
          <t>reported_3m</t>
        </is>
      </c>
      <c r="I108" t="inlineStr">
        <is>
          <t>Revenues</t>
        </is>
      </c>
      <c r="J108" t="inlineStr">
        <is>
          <t>0001133421-21-000056</t>
        </is>
      </c>
      <c r="K108" t="inlineStr">
        <is>
          <t>2021-10-28</t>
        </is>
      </c>
    </row>
    <row r="109">
      <c r="A109" t="inlineStr">
        <is>
          <t>NOC</t>
        </is>
      </c>
      <c r="B109" t="inlineStr">
        <is>
          <t>2021Q4</t>
        </is>
      </c>
      <c r="C109" t="inlineStr">
        <is>
          <t>2021-12-31</t>
        </is>
      </c>
      <c r="D109" s="3" t="n">
        <v>76000000000</v>
      </c>
      <c r="E109" t="inlineStr">
        <is>
          <t>0001133421-22-000004</t>
        </is>
      </c>
      <c r="F109" t="inlineStr">
        <is>
          <t>2022-01-27</t>
        </is>
      </c>
      <c r="G109" s="3" t="n">
        <v>8639000000</v>
      </c>
      <c r="H109" t="inlineStr">
        <is>
          <t>fy_minus_9m</t>
        </is>
      </c>
      <c r="I109" t="inlineStr">
        <is>
          <t>Revenues</t>
        </is>
      </c>
      <c r="J109" t="inlineStr">
        <is>
          <t>0001133421-22-000004</t>
        </is>
      </c>
      <c r="K109" t="inlineStr">
        <is>
          <t>2022-01-27</t>
        </is>
      </c>
    </row>
    <row r="110">
      <c r="A110" t="inlineStr">
        <is>
          <t>NOC</t>
        </is>
      </c>
      <c r="B110" t="inlineStr">
        <is>
          <t>2022Q1</t>
        </is>
      </c>
      <c r="C110" t="inlineStr">
        <is>
          <t>2022-03-31</t>
        </is>
      </c>
      <c r="D110" s="3" t="n">
        <v>75800000000</v>
      </c>
      <c r="E110" t="inlineStr">
        <is>
          <t>0001133421-22-000013</t>
        </is>
      </c>
      <c r="F110" t="inlineStr">
        <is>
          <t>2022-04-28</t>
        </is>
      </c>
      <c r="G110" s="3" t="n">
        <v>8797000000</v>
      </c>
      <c r="H110" t="inlineStr">
        <is>
          <t>reported_3m</t>
        </is>
      </c>
      <c r="I110" t="inlineStr">
        <is>
          <t>Revenues</t>
        </is>
      </c>
      <c r="J110" t="inlineStr">
        <is>
          <t>0001133421-22-000013</t>
        </is>
      </c>
      <c r="K110" t="inlineStr">
        <is>
          <t>2022-04-28</t>
        </is>
      </c>
    </row>
    <row r="111">
      <c r="A111" t="inlineStr">
        <is>
          <t>NOC</t>
        </is>
      </c>
      <c r="B111" t="inlineStr">
        <is>
          <t>2022Q2</t>
        </is>
      </c>
      <c r="C111" t="inlineStr">
        <is>
          <t>2022-06-30</t>
        </is>
      </c>
      <c r="D111" s="3" t="n">
        <v>80000000000</v>
      </c>
      <c r="E111" t="inlineStr">
        <is>
          <t>0001133421-22-000031</t>
        </is>
      </c>
      <c r="F111" t="inlineStr">
        <is>
          <t>2022-07-28</t>
        </is>
      </c>
      <c r="G111" s="3" t="n">
        <v>8801000000</v>
      </c>
      <c r="H111" t="inlineStr">
        <is>
          <t>reported_3m</t>
        </is>
      </c>
      <c r="I111" t="inlineStr">
        <is>
          <t>Revenues</t>
        </is>
      </c>
      <c r="J111" t="inlineStr">
        <is>
          <t>0001133421-22-000031</t>
        </is>
      </c>
      <c r="K111" t="inlineStr">
        <is>
          <t>2022-07-28</t>
        </is>
      </c>
    </row>
    <row r="112">
      <c r="A112" t="inlineStr">
        <is>
          <t>NOC</t>
        </is>
      </c>
      <c r="B112" t="inlineStr">
        <is>
          <t>2022Q3</t>
        </is>
      </c>
      <c r="C112" t="inlineStr">
        <is>
          <t>2022-09-30</t>
        </is>
      </c>
      <c r="D112" s="3" t="n">
        <v>79600000000</v>
      </c>
      <c r="E112" t="inlineStr">
        <is>
          <t>0001133421-22-000042</t>
        </is>
      </c>
      <c r="F112" t="inlineStr">
        <is>
          <t>2022-10-27</t>
        </is>
      </c>
      <c r="G112" s="3" t="n">
        <v>8971000000</v>
      </c>
      <c r="H112" t="inlineStr">
        <is>
          <t>reported_3m</t>
        </is>
      </c>
      <c r="I112" t="inlineStr">
        <is>
          <t>Revenues</t>
        </is>
      </c>
      <c r="J112" t="inlineStr">
        <is>
          <t>0001133421-22-000042</t>
        </is>
      </c>
      <c r="K112" t="inlineStr">
        <is>
          <t>2022-10-27</t>
        </is>
      </c>
    </row>
    <row r="113">
      <c r="A113" t="inlineStr">
        <is>
          <t>NOC</t>
        </is>
      </c>
      <c r="B113" t="inlineStr">
        <is>
          <t>2022Q4</t>
        </is>
      </c>
      <c r="C113" t="inlineStr">
        <is>
          <t>2022-12-31</t>
        </is>
      </c>
      <c r="D113" s="3" t="n">
        <v>78700000000</v>
      </c>
      <c r="E113" t="inlineStr">
        <is>
          <t>0001133421-23-000006</t>
        </is>
      </c>
      <c r="F113" t="inlineStr">
        <is>
          <t>2023-01-26</t>
        </is>
      </c>
      <c r="G113" s="3" t="n">
        <v>10033000000</v>
      </c>
      <c r="H113" t="inlineStr">
        <is>
          <t>fy_minus_9m</t>
        </is>
      </c>
      <c r="I113" t="inlineStr">
        <is>
          <t>Revenues</t>
        </is>
      </c>
      <c r="J113" t="inlineStr">
        <is>
          <t>0001133421-23-000006</t>
        </is>
      </c>
      <c r="K113" t="inlineStr">
        <is>
          <t>2023-01-26</t>
        </is>
      </c>
    </row>
    <row r="114">
      <c r="A114" t="inlineStr">
        <is>
          <t>NOC</t>
        </is>
      </c>
      <c r="B114" t="inlineStr">
        <is>
          <t>2023Q1</t>
        </is>
      </c>
      <c r="C114" t="inlineStr">
        <is>
          <t>2023-03-31</t>
        </is>
      </c>
      <c r="D114" s="3" t="n">
        <v>77500000000</v>
      </c>
      <c r="E114" t="inlineStr">
        <is>
          <t>0001133421-23-000027</t>
        </is>
      </c>
      <c r="F114" t="inlineStr">
        <is>
          <t>2023-04-27</t>
        </is>
      </c>
      <c r="G114" s="3" t="n">
        <v>9301000000</v>
      </c>
      <c r="H114" t="inlineStr">
        <is>
          <t>reported_3m</t>
        </is>
      </c>
      <c r="I114" t="inlineStr">
        <is>
          <t>Revenues</t>
        </is>
      </c>
      <c r="J114" t="inlineStr">
        <is>
          <t>0001133421-23-000027</t>
        </is>
      </c>
      <c r="K114" t="inlineStr">
        <is>
          <t>2023-04-27</t>
        </is>
      </c>
    </row>
    <row r="115">
      <c r="A115" t="inlineStr">
        <is>
          <t>NOC</t>
        </is>
      </c>
      <c r="B115" t="inlineStr">
        <is>
          <t>2023Q2</t>
        </is>
      </c>
      <c r="C115" t="inlineStr">
        <is>
          <t>2023-06-30</t>
        </is>
      </c>
      <c r="D115" s="3" t="n">
        <v>78800000000</v>
      </c>
      <c r="E115" t="inlineStr">
        <is>
          <t>0001133421-23-000045</t>
        </is>
      </c>
      <c r="F115" t="inlineStr">
        <is>
          <t>2023-07-27</t>
        </is>
      </c>
      <c r="G115" s="3" t="n">
        <v>9576000000</v>
      </c>
      <c r="H115" t="inlineStr">
        <is>
          <t>reported_3m</t>
        </is>
      </c>
      <c r="I115" t="inlineStr">
        <is>
          <t>Revenues</t>
        </is>
      </c>
      <c r="J115" t="inlineStr">
        <is>
          <t>0001133421-23-000045</t>
        </is>
      </c>
      <c r="K115" t="inlineStr">
        <is>
          <t>2023-07-27</t>
        </is>
      </c>
    </row>
    <row r="116">
      <c r="A116" t="inlineStr">
        <is>
          <t>NOC</t>
        </is>
      </c>
      <c r="B116" t="inlineStr">
        <is>
          <t>2023Q3</t>
        </is>
      </c>
      <c r="C116" t="inlineStr">
        <is>
          <t>2023-09-30</t>
        </is>
      </c>
      <c r="D116" s="3" t="n">
        <v>83900000000</v>
      </c>
      <c r="E116" t="inlineStr">
        <is>
          <t>0001133421-23-000053</t>
        </is>
      </c>
      <c r="F116" t="inlineStr">
        <is>
          <t>2023-10-26</t>
        </is>
      </c>
      <c r="G116" s="3" t="n">
        <v>9775000000</v>
      </c>
      <c r="H116" t="inlineStr">
        <is>
          <t>reported_3m</t>
        </is>
      </c>
      <c r="I116" t="inlineStr">
        <is>
          <t>Revenues</t>
        </is>
      </c>
      <c r="J116" t="inlineStr">
        <is>
          <t>0001133421-23-000053</t>
        </is>
      </c>
      <c r="K116" t="inlineStr">
        <is>
          <t>2023-10-26</t>
        </is>
      </c>
    </row>
    <row r="117">
      <c r="A117" t="inlineStr">
        <is>
          <t>NOC</t>
        </is>
      </c>
      <c r="B117" t="inlineStr">
        <is>
          <t>2023Q4</t>
        </is>
      </c>
      <c r="C117" t="inlineStr">
        <is>
          <t>2023-12-31</t>
        </is>
      </c>
      <c r="D117" s="3" t="n">
        <v>84200000000</v>
      </c>
      <c r="E117" t="inlineStr">
        <is>
          <t>0001133421-24-000006</t>
        </is>
      </c>
      <c r="F117" t="inlineStr">
        <is>
          <t>2024-01-25</t>
        </is>
      </c>
      <c r="G117" s="3" t="n">
        <v>10638000000</v>
      </c>
      <c r="H117" t="inlineStr">
        <is>
          <t>fy_minus_9m</t>
        </is>
      </c>
      <c r="I117" t="inlineStr">
        <is>
          <t>Revenues</t>
        </is>
      </c>
      <c r="J117" t="inlineStr">
        <is>
          <t>0001133421-24-000006</t>
        </is>
      </c>
      <c r="K117" t="inlineStr">
        <is>
          <t>2024-01-25</t>
        </is>
      </c>
    </row>
    <row r="118">
      <c r="A118" t="inlineStr">
        <is>
          <t>NOC</t>
        </is>
      </c>
      <c r="B118" t="inlineStr">
        <is>
          <t>2024Q1</t>
        </is>
      </c>
      <c r="C118" t="inlineStr">
        <is>
          <t>2024-03-31</t>
        </is>
      </c>
      <c r="D118" s="3" t="n">
        <v>78900000000</v>
      </c>
      <c r="E118" t="inlineStr">
        <is>
          <t>0001133421-24-000026</t>
        </is>
      </c>
      <c r="F118" t="inlineStr">
        <is>
          <t>2024-04-25</t>
        </is>
      </c>
      <c r="G118" s="3" t="n">
        <v>10133000000</v>
      </c>
      <c r="H118" t="inlineStr">
        <is>
          <t>reported_3m</t>
        </is>
      </c>
      <c r="I118" t="inlineStr">
        <is>
          <t>Revenues</t>
        </is>
      </c>
      <c r="J118" t="inlineStr">
        <is>
          <t>0001133421-24-000026</t>
        </is>
      </c>
      <c r="K118" t="inlineStr">
        <is>
          <t>2024-04-25</t>
        </is>
      </c>
    </row>
    <row r="119">
      <c r="A119" t="inlineStr">
        <is>
          <t>NOC</t>
        </is>
      </c>
      <c r="B119" t="inlineStr">
        <is>
          <t>2024Q2</t>
        </is>
      </c>
      <c r="C119" t="inlineStr">
        <is>
          <t>2024-06-30</t>
        </is>
      </c>
      <c r="D119" s="3" t="n">
        <v>83100000000</v>
      </c>
      <c r="E119" t="inlineStr">
        <is>
          <t>0001133421-24-000052</t>
        </is>
      </c>
      <c r="F119" t="inlineStr">
        <is>
          <t>2024-07-25</t>
        </is>
      </c>
      <c r="G119" s="3" t="n">
        <v>10218000000</v>
      </c>
      <c r="H119" t="inlineStr">
        <is>
          <t>reported_3m</t>
        </is>
      </c>
      <c r="I119" t="inlineStr">
        <is>
          <t>Revenues</t>
        </is>
      </c>
      <c r="J119" t="inlineStr">
        <is>
          <t>0001133421-24-000052</t>
        </is>
      </c>
      <c r="K119" t="inlineStr">
        <is>
          <t>2024-07-25</t>
        </is>
      </c>
    </row>
    <row r="120">
      <c r="A120" t="inlineStr">
        <is>
          <t>NOC</t>
        </is>
      </c>
      <c r="B120" t="inlineStr">
        <is>
          <t>2024Q3</t>
        </is>
      </c>
      <c r="C120" t="inlineStr">
        <is>
          <t>2024-09-30</t>
        </is>
      </c>
      <c r="D120" s="3" t="n">
        <v>84800000000</v>
      </c>
      <c r="E120" t="inlineStr">
        <is>
          <t>0001133421-24-000064</t>
        </is>
      </c>
      <c r="F120" t="inlineStr">
        <is>
          <t>2024-10-24</t>
        </is>
      </c>
      <c r="G120" s="3" t="n">
        <v>9996000000</v>
      </c>
      <c r="H120" t="inlineStr">
        <is>
          <t>reported_3m</t>
        </is>
      </c>
      <c r="I120" t="inlineStr">
        <is>
          <t>Revenues</t>
        </is>
      </c>
      <c r="J120" t="inlineStr">
        <is>
          <t>0001133421-24-000064</t>
        </is>
      </c>
      <c r="K120" t="inlineStr">
        <is>
          <t>2024-10-24</t>
        </is>
      </c>
    </row>
    <row r="121">
      <c r="A121" t="inlineStr">
        <is>
          <t>NOC</t>
        </is>
      </c>
      <c r="B121" t="inlineStr">
        <is>
          <t>2024Q4</t>
        </is>
      </c>
      <c r="C121" t="inlineStr">
        <is>
          <t>2024-12-31</t>
        </is>
      </c>
      <c r="D121" s="3" t="n">
        <v>91500000000</v>
      </c>
      <c r="E121" t="inlineStr">
        <is>
          <t>0001133421-25-000006</t>
        </is>
      </c>
      <c r="F121" t="inlineStr">
        <is>
          <t>2025-01-30</t>
        </is>
      </c>
      <c r="G121" s="3" t="n">
        <v>10686000000</v>
      </c>
      <c r="H121" t="inlineStr">
        <is>
          <t>fy_minus_9m</t>
        </is>
      </c>
      <c r="I121" t="inlineStr">
        <is>
          <t>Revenues</t>
        </is>
      </c>
      <c r="J121" t="inlineStr">
        <is>
          <t>0001133421-25-000006</t>
        </is>
      </c>
      <c r="K121" t="inlineStr">
        <is>
          <t>2025-01-30</t>
        </is>
      </c>
    </row>
    <row r="122">
      <c r="A122" t="inlineStr">
        <is>
          <t>NOC</t>
        </is>
      </c>
      <c r="B122" t="inlineStr">
        <is>
          <t>2025Q1</t>
        </is>
      </c>
      <c r="C122" t="inlineStr">
        <is>
          <t>2025-03-31</t>
        </is>
      </c>
      <c r="D122" s="3" t="n">
        <v>92800000000</v>
      </c>
      <c r="E122" t="inlineStr">
        <is>
          <t>0001133421-25-000023</t>
        </is>
      </c>
      <c r="F122" t="inlineStr">
        <is>
          <t>2025-04-22</t>
        </is>
      </c>
      <c r="G122" s="3" t="n">
        <v>9468000000</v>
      </c>
      <c r="H122" t="inlineStr">
        <is>
          <t>reported_3m</t>
        </is>
      </c>
      <c r="I122" t="inlineStr">
        <is>
          <t>Revenues</t>
        </is>
      </c>
      <c r="J122" t="inlineStr">
        <is>
          <t>0001133421-25-000023</t>
        </is>
      </c>
      <c r="K122" t="inlineStr">
        <is>
          <t>2025-04-22</t>
        </is>
      </c>
    </row>
    <row r="123">
      <c r="A123" t="inlineStr">
        <is>
          <t>NOC</t>
        </is>
      </c>
      <c r="B123" t="inlineStr">
        <is>
          <t>2025Q2</t>
        </is>
      </c>
      <c r="C123" t="inlineStr">
        <is>
          <t>2025-06-30</t>
        </is>
      </c>
      <c r="D123" s="3" t="n">
        <v>89700000000</v>
      </c>
      <c r="E123" t="inlineStr">
        <is>
          <t>0001133421-25-000049</t>
        </is>
      </c>
      <c r="F123" t="inlineStr">
        <is>
          <t>2025-07-22</t>
        </is>
      </c>
      <c r="G123" s="3" t="n">
        <v>10351000000</v>
      </c>
      <c r="H123" t="inlineStr">
        <is>
          <t>reported_3m</t>
        </is>
      </c>
      <c r="I123" t="inlineStr">
        <is>
          <t>Revenues</t>
        </is>
      </c>
      <c r="J123" t="inlineStr">
        <is>
          <t>0001133421-25-000049</t>
        </is>
      </c>
      <c r="K123" t="inlineStr">
        <is>
          <t>2025-07-22</t>
        </is>
      </c>
    </row>
    <row r="124">
      <c r="A124" t="inlineStr">
        <is>
          <t>NOC</t>
        </is>
      </c>
      <c r="B124" t="inlineStr">
        <is>
          <t>2025Q3</t>
        </is>
      </c>
      <c r="C124" t="inlineStr">
        <is>
          <t>2025-09-30</t>
        </is>
      </c>
      <c r="D124" s="3" t="n">
        <v>91400000000</v>
      </c>
      <c r="E124" t="inlineStr">
        <is>
          <t>0001133421-25-000053</t>
        </is>
      </c>
      <c r="F124" t="inlineStr">
        <is>
          <t>2025-10-21</t>
        </is>
      </c>
      <c r="G124" s="3" t="n">
        <v>10423000000</v>
      </c>
      <c r="H124" t="inlineStr">
        <is>
          <t>reported_3m</t>
        </is>
      </c>
      <c r="I124" t="inlineStr">
        <is>
          <t>Revenues</t>
        </is>
      </c>
      <c r="J124" t="inlineStr">
        <is>
          <t>0001133421-25-000053</t>
        </is>
      </c>
      <c r="K124" t="inlineStr">
        <is>
          <t>2025-10-21</t>
        </is>
      </c>
    </row>
    <row r="125">
      <c r="A125" t="inlineStr">
        <is>
          <t>NOC</t>
        </is>
      </c>
      <c r="B125" t="inlineStr">
        <is>
          <t>2025Q4</t>
        </is>
      </c>
      <c r="C125" t="inlineStr">
        <is>
          <t>2025-12-31</t>
        </is>
      </c>
      <c r="D125" s="3" t="n">
        <v>95700000000</v>
      </c>
      <c r="E125" t="inlineStr">
        <is>
          <t>0001133421-26-000003</t>
        </is>
      </c>
      <c r="F125" t="inlineStr">
        <is>
          <t>2026-01-27</t>
        </is>
      </c>
      <c r="G125" s="3" t="n">
        <v>11712000000</v>
      </c>
      <c r="H125" t="inlineStr">
        <is>
          <t>fy_minus_9m</t>
        </is>
      </c>
      <c r="I125" t="inlineStr">
        <is>
          <t>Revenues</t>
        </is>
      </c>
      <c r="J125" t="inlineStr">
        <is>
          <t>0001133421-26-000003</t>
        </is>
      </c>
      <c r="K125" t="inlineStr">
        <is>
          <t>2026-01-27</t>
        </is>
      </c>
    </row>
    <row r="126">
      <c r="A126" t="inlineStr">
        <is>
          <t>NOC</t>
        </is>
      </c>
      <c r="B126" t="inlineStr">
        <is>
          <t>2026Q1</t>
        </is>
      </c>
      <c r="C126" t="inlineStr">
        <is>
          <t>2026-03-31</t>
        </is>
      </c>
      <c r="D126" s="3" t="n">
        <v>95600000000</v>
      </c>
      <c r="E126" t="inlineStr">
        <is>
          <t>0001133421-26-000016</t>
        </is>
      </c>
      <c r="F126" t="inlineStr">
        <is>
          <t>2026-04-21</t>
        </is>
      </c>
      <c r="G126" s="3" t="n">
        <v>9881000000</v>
      </c>
      <c r="H126" t="inlineStr">
        <is>
          <t>reported_3m</t>
        </is>
      </c>
      <c r="I126" t="inlineStr">
        <is>
          <t>Revenues</t>
        </is>
      </c>
      <c r="J126" t="inlineStr">
        <is>
          <t>0001133421-26-000016</t>
        </is>
      </c>
      <c r="K126" t="inlineStr">
        <is>
          <t>2026-04-21</t>
        </is>
      </c>
    </row>
    <row r="127">
      <c r="A127" t="inlineStr">
        <is>
          <t>NOC</t>
        </is>
      </c>
      <c r="B127" t="inlineStr">
        <is>
          <t>2026Q2</t>
        </is>
      </c>
      <c r="C127" t="inlineStr">
        <is>
          <t>2026-06-30</t>
        </is>
      </c>
      <c r="D127" s="3" t="n">
        <v>104700000000</v>
      </c>
      <c r="E127" t="inlineStr">
        <is>
          <t>0001133421-26-000034</t>
        </is>
      </c>
      <c r="F127" t="inlineStr">
        <is>
          <t>2026-07-21</t>
        </is>
      </c>
      <c r="G127" s="3" t="n">
        <v>10876000000</v>
      </c>
      <c r="H127" t="inlineStr">
        <is>
          <t>reported_3m</t>
        </is>
      </c>
      <c r="I127" t="inlineStr">
        <is>
          <t>Revenues</t>
        </is>
      </c>
      <c r="J127" t="inlineStr">
        <is>
          <t>0001133421-26-000034</t>
        </is>
      </c>
      <c r="K127" t="inlineStr">
        <is>
          <t>2026-07-21</t>
        </is>
      </c>
    </row>
    <row r="128">
      <c r="A128" t="inlineStr">
        <is>
          <t>RTX</t>
        </is>
      </c>
      <c r="B128" t="inlineStr">
        <is>
          <t>2020Q2</t>
        </is>
      </c>
      <c r="C128" t="inlineStr">
        <is>
          <t>2020-06-30</t>
        </is>
      </c>
      <c r="D128" s="3" t="n">
        <v>158700000000</v>
      </c>
      <c r="E128" t="inlineStr">
        <is>
          <t>0000101829-20-000055</t>
        </is>
      </c>
      <c r="F128" t="inlineStr">
        <is>
          <t>2020-07-29</t>
        </is>
      </c>
      <c r="G128" s="3" t="n">
        <v>14061000000</v>
      </c>
      <c r="H128" t="inlineStr">
        <is>
          <t>reported_3m</t>
        </is>
      </c>
      <c r="I128" t="inlineStr">
        <is>
          <t>Revenues</t>
        </is>
      </c>
      <c r="J128" t="inlineStr">
        <is>
          <t>0000101829-20-000055</t>
        </is>
      </c>
      <c r="K128" t="inlineStr">
        <is>
          <t>2020-07-29</t>
        </is>
      </c>
    </row>
    <row r="129">
      <c r="A129" t="inlineStr">
        <is>
          <t>RTX</t>
        </is>
      </c>
      <c r="B129" t="inlineStr">
        <is>
          <t>2020Q3</t>
        </is>
      </c>
      <c r="C129" t="inlineStr">
        <is>
          <t>2020-09-30</t>
        </is>
      </c>
      <c r="D129" s="3" t="n">
        <v>152300000000</v>
      </c>
      <c r="E129" t="inlineStr">
        <is>
          <t>0000101829-20-000071</t>
        </is>
      </c>
      <c r="F129" t="inlineStr">
        <is>
          <t>2020-10-27</t>
        </is>
      </c>
      <c r="G129" s="3" t="n">
        <v>14747000000</v>
      </c>
      <c r="H129" t="inlineStr">
        <is>
          <t>reported_3m</t>
        </is>
      </c>
      <c r="I129" t="inlineStr">
        <is>
          <t>Revenues</t>
        </is>
      </c>
      <c r="J129" t="inlineStr">
        <is>
          <t>0000101829-20-000071</t>
        </is>
      </c>
      <c r="K129" t="inlineStr">
        <is>
          <t>2020-10-27</t>
        </is>
      </c>
    </row>
    <row r="130">
      <c r="A130" t="inlineStr">
        <is>
          <t>RTX</t>
        </is>
      </c>
      <c r="B130" t="inlineStr">
        <is>
          <t>2020Q4</t>
        </is>
      </c>
      <c r="C130" t="inlineStr">
        <is>
          <t>2020-12-31</t>
        </is>
      </c>
      <c r="D130" s="3" t="n">
        <v>150100000000</v>
      </c>
      <c r="E130" t="inlineStr">
        <is>
          <t>0000101829-21-000008</t>
        </is>
      </c>
      <c r="F130" t="inlineStr">
        <is>
          <t>2021-02-08</t>
        </is>
      </c>
      <c r="G130" s="3" t="n">
        <v>16419000000</v>
      </c>
      <c r="H130" t="inlineStr">
        <is>
          <t>reported_3m</t>
        </is>
      </c>
      <c r="I130" t="inlineStr">
        <is>
          <t>Revenues</t>
        </is>
      </c>
      <c r="J130" t="inlineStr">
        <is>
          <t>0000101829-21-000008</t>
        </is>
      </c>
      <c r="K130" t="inlineStr">
        <is>
          <t>2021-02-08</t>
        </is>
      </c>
    </row>
    <row r="131">
      <c r="A131" t="inlineStr">
        <is>
          <t>RTX</t>
        </is>
      </c>
      <c r="B131" t="inlineStr">
        <is>
          <t>2021Q1</t>
        </is>
      </c>
      <c r="C131" t="inlineStr">
        <is>
          <t>2021-03-31</t>
        </is>
      </c>
      <c r="D131" s="3" t="n">
        <v>147400000000</v>
      </c>
      <c r="E131" t="inlineStr">
        <is>
          <t>0000101829-21-000024</t>
        </is>
      </c>
      <c r="F131" t="inlineStr">
        <is>
          <t>2021-04-27</t>
        </is>
      </c>
      <c r="G131" s="3" t="n">
        <v>15251000000</v>
      </c>
      <c r="H131" t="inlineStr">
        <is>
          <t>reported_3m</t>
        </is>
      </c>
      <c r="I131" t="inlineStr">
        <is>
          <t>Revenues</t>
        </is>
      </c>
      <c r="J131" t="inlineStr">
        <is>
          <t>0000101829-21-000024</t>
        </is>
      </c>
      <c r="K131" t="inlineStr">
        <is>
          <t>2021-04-27</t>
        </is>
      </c>
    </row>
    <row r="132">
      <c r="A132" t="inlineStr">
        <is>
          <t>RTX</t>
        </is>
      </c>
      <c r="B132" t="inlineStr">
        <is>
          <t>2021Q2</t>
        </is>
      </c>
      <c r="C132" t="inlineStr">
        <is>
          <t>2021-06-30</t>
        </is>
      </c>
      <c r="D132" s="3" t="n">
        <v>151800000000</v>
      </c>
      <c r="E132" t="inlineStr">
        <is>
          <t>0000101829-21-000051</t>
        </is>
      </c>
      <c r="F132" t="inlineStr">
        <is>
          <t>2021-07-27</t>
        </is>
      </c>
      <c r="G132" s="3" t="n">
        <v>15880000000</v>
      </c>
      <c r="H132" t="inlineStr">
        <is>
          <t>reported_3m</t>
        </is>
      </c>
      <c r="I132" t="inlineStr">
        <is>
          <t>Revenues</t>
        </is>
      </c>
      <c r="J132" t="inlineStr">
        <is>
          <t>0000101829-21-000051</t>
        </is>
      </c>
      <c r="K132" t="inlineStr">
        <is>
          <t>2021-07-27</t>
        </is>
      </c>
    </row>
    <row r="133">
      <c r="A133" t="inlineStr">
        <is>
          <t>RTX</t>
        </is>
      </c>
      <c r="B133" t="inlineStr">
        <is>
          <t>2021Q3</t>
        </is>
      </c>
      <c r="C133" t="inlineStr">
        <is>
          <t>2021-09-30</t>
        </is>
      </c>
      <c r="D133" s="3" t="n">
        <v>156100000000</v>
      </c>
      <c r="E133" t="inlineStr">
        <is>
          <t>0000101829-21-000056</t>
        </is>
      </c>
      <c r="F133" t="inlineStr">
        <is>
          <t>2021-10-26</t>
        </is>
      </c>
      <c r="G133" s="3" t="n">
        <v>16213000000</v>
      </c>
      <c r="H133" t="inlineStr">
        <is>
          <t>reported_3m</t>
        </is>
      </c>
      <c r="I133" t="inlineStr">
        <is>
          <t>Revenues</t>
        </is>
      </c>
      <c r="J133" t="inlineStr">
        <is>
          <t>0000101829-21-000056</t>
        </is>
      </c>
      <c r="K133" t="inlineStr">
        <is>
          <t>2021-10-26</t>
        </is>
      </c>
    </row>
    <row r="134">
      <c r="A134" t="inlineStr">
        <is>
          <t>RTX</t>
        </is>
      </c>
      <c r="B134" t="inlineStr">
        <is>
          <t>2021Q4</t>
        </is>
      </c>
      <c r="C134" t="inlineStr">
        <is>
          <t>2021-12-31</t>
        </is>
      </c>
      <c r="D134" s="3" t="n">
        <v>156000000000</v>
      </c>
      <c r="E134" t="inlineStr">
        <is>
          <t>0000101829-22-000005</t>
        </is>
      </c>
      <c r="F134" t="inlineStr">
        <is>
          <t>2022-02-11</t>
        </is>
      </c>
      <c r="G134" s="3" t="n">
        <v>17044000000</v>
      </c>
      <c r="H134" t="inlineStr">
        <is>
          <t>fy_minus_9m</t>
        </is>
      </c>
      <c r="I134" t="inlineStr">
        <is>
          <t>Revenues</t>
        </is>
      </c>
      <c r="J134" t="inlineStr">
        <is>
          <t>0000101829-22-000005</t>
        </is>
      </c>
      <c r="K134" t="inlineStr">
        <is>
          <t>2022-02-11</t>
        </is>
      </c>
    </row>
    <row r="135">
      <c r="A135" t="inlineStr">
        <is>
          <t>RTX</t>
        </is>
      </c>
      <c r="B135" t="inlineStr">
        <is>
          <t>2022Q1</t>
        </is>
      </c>
      <c r="C135" t="inlineStr">
        <is>
          <t>2022-03-31</t>
        </is>
      </c>
      <c r="D135" s="3" t="n">
        <v>154000000000</v>
      </c>
      <c r="E135" t="inlineStr">
        <is>
          <t>0000101829-22-000018</t>
        </is>
      </c>
      <c r="F135" t="inlineStr">
        <is>
          <t>2022-04-26</t>
        </is>
      </c>
      <c r="G135" s="3" t="n">
        <v>15716000000</v>
      </c>
      <c r="H135" t="inlineStr">
        <is>
          <t>reported_3m</t>
        </is>
      </c>
      <c r="I135" t="inlineStr">
        <is>
          <t>Revenues</t>
        </is>
      </c>
      <c r="J135" t="inlineStr">
        <is>
          <t>0000101829-22-000018</t>
        </is>
      </c>
      <c r="K135" t="inlineStr">
        <is>
          <t>2022-04-26</t>
        </is>
      </c>
    </row>
    <row r="136">
      <c r="A136" t="inlineStr">
        <is>
          <t>RTX</t>
        </is>
      </c>
      <c r="B136" t="inlineStr">
        <is>
          <t>2022Q2</t>
        </is>
      </c>
      <c r="C136" t="inlineStr">
        <is>
          <t>2022-06-30</t>
        </is>
      </c>
      <c r="D136" s="3" t="n">
        <v>161000000000</v>
      </c>
      <c r="E136" t="inlineStr">
        <is>
          <t>0000101829-22-000040</t>
        </is>
      </c>
      <c r="F136" t="inlineStr">
        <is>
          <t>2022-07-26</t>
        </is>
      </c>
      <c r="G136" s="3" t="n">
        <v>16314000000</v>
      </c>
      <c r="H136" t="inlineStr">
        <is>
          <t>reported_3m</t>
        </is>
      </c>
      <c r="I136" t="inlineStr">
        <is>
          <t>Revenues</t>
        </is>
      </c>
      <c r="J136" t="inlineStr">
        <is>
          <t>0000101829-22-000040</t>
        </is>
      </c>
      <c r="K136" t="inlineStr">
        <is>
          <t>2022-07-26</t>
        </is>
      </c>
    </row>
    <row r="137">
      <c r="A137" t="inlineStr">
        <is>
          <t>RTX</t>
        </is>
      </c>
      <c r="B137" t="inlineStr">
        <is>
          <t>2022Q3</t>
        </is>
      </c>
      <c r="C137" t="inlineStr">
        <is>
          <t>2022-09-30</t>
        </is>
      </c>
      <c r="D137" s="3" t="n">
        <v>168000000000</v>
      </c>
      <c r="E137" t="inlineStr">
        <is>
          <t>0000101829-22-000056</t>
        </is>
      </c>
      <c r="F137" t="inlineStr">
        <is>
          <t>2022-10-25</t>
        </is>
      </c>
      <c r="G137" s="3" t="n">
        <v>16951000000</v>
      </c>
      <c r="H137" t="inlineStr">
        <is>
          <t>reported_3m</t>
        </is>
      </c>
      <c r="I137" t="inlineStr">
        <is>
          <t>Revenues</t>
        </is>
      </c>
      <c r="J137" t="inlineStr">
        <is>
          <t>0000101829-22-000056</t>
        </is>
      </c>
      <c r="K137" t="inlineStr">
        <is>
          <t>2022-10-25</t>
        </is>
      </c>
    </row>
    <row r="138">
      <c r="A138" t="inlineStr">
        <is>
          <t>RTX</t>
        </is>
      </c>
      <c r="B138" t="inlineStr">
        <is>
          <t>2022Q4</t>
        </is>
      </c>
      <c r="C138" t="inlineStr">
        <is>
          <t>2022-12-31</t>
        </is>
      </c>
      <c r="D138" s="3" t="n">
        <v>175000000000</v>
      </c>
      <c r="E138" t="inlineStr">
        <is>
          <t>0000101829-23-000009</t>
        </is>
      </c>
      <c r="F138" t="inlineStr">
        <is>
          <t>2023-02-07</t>
        </is>
      </c>
      <c r="G138" s="3" t="n">
        <v>18093000000</v>
      </c>
      <c r="H138" t="inlineStr">
        <is>
          <t>fy_minus_9m</t>
        </is>
      </c>
      <c r="I138" t="inlineStr">
        <is>
          <t>Revenues</t>
        </is>
      </c>
      <c r="J138" t="inlineStr">
        <is>
          <t>0000101829-23-000009</t>
        </is>
      </c>
      <c r="K138" t="inlineStr">
        <is>
          <t>2023-02-07</t>
        </is>
      </c>
    </row>
    <row r="139">
      <c r="A139" t="inlineStr">
        <is>
          <t>RTX</t>
        </is>
      </c>
      <c r="B139" t="inlineStr">
        <is>
          <t>2023Q1</t>
        </is>
      </c>
      <c r="C139" t="inlineStr">
        <is>
          <t>2023-03-31</t>
        </is>
      </c>
      <c r="D139" s="3" t="n">
        <v>180000000000</v>
      </c>
      <c r="E139" t="inlineStr">
        <is>
          <t>0000101829-23-000015</t>
        </is>
      </c>
      <c r="F139" t="inlineStr">
        <is>
          <t>2023-04-25</t>
        </is>
      </c>
      <c r="G139" s="3" t="n">
        <v>17214000000</v>
      </c>
      <c r="H139" t="inlineStr">
        <is>
          <t>reported_3m</t>
        </is>
      </c>
      <c r="I139" t="inlineStr">
        <is>
          <t>Revenues</t>
        </is>
      </c>
      <c r="J139" t="inlineStr">
        <is>
          <t>0000101829-23-000015</t>
        </is>
      </c>
      <c r="K139" t="inlineStr">
        <is>
          <t>2023-04-25</t>
        </is>
      </c>
    </row>
    <row r="140">
      <c r="A140" t="inlineStr">
        <is>
          <t>RTX</t>
        </is>
      </c>
      <c r="B140" t="inlineStr">
        <is>
          <t>2023Q2</t>
        </is>
      </c>
      <c r="C140" t="inlineStr">
        <is>
          <t>2023-06-30</t>
        </is>
      </c>
      <c r="D140" s="3" t="n">
        <v>185000000000</v>
      </c>
      <c r="E140" t="inlineStr">
        <is>
          <t>0000101829-23-000032</t>
        </is>
      </c>
      <c r="F140" t="inlineStr">
        <is>
          <t>2023-07-25</t>
        </is>
      </c>
      <c r="G140" s="3" t="n">
        <v>18315000000</v>
      </c>
      <c r="H140" t="inlineStr">
        <is>
          <t>reported_3m</t>
        </is>
      </c>
      <c r="I140" t="inlineStr">
        <is>
          <t>Revenues</t>
        </is>
      </c>
      <c r="J140" t="inlineStr">
        <is>
          <t>0000101829-23-000032</t>
        </is>
      </c>
      <c r="K140" t="inlineStr">
        <is>
          <t>2023-07-25</t>
        </is>
      </c>
    </row>
    <row r="141">
      <c r="A141" t="inlineStr">
        <is>
          <t>RTX</t>
        </is>
      </c>
      <c r="B141" t="inlineStr">
        <is>
          <t>2023Q3</t>
        </is>
      </c>
      <c r="C141" t="inlineStr">
        <is>
          <t>2023-09-30</t>
        </is>
      </c>
      <c r="D141" s="3" t="n">
        <v>190000000000</v>
      </c>
      <c r="E141" t="inlineStr">
        <is>
          <t>0000101829-23-000037</t>
        </is>
      </c>
      <c r="F141" t="inlineStr">
        <is>
          <t>2023-10-24</t>
        </is>
      </c>
      <c r="G141" s="3" t="n">
        <v>13464000000</v>
      </c>
      <c r="H141" t="inlineStr">
        <is>
          <t>reported_3m</t>
        </is>
      </c>
      <c r="I141" t="inlineStr">
        <is>
          <t>Revenues</t>
        </is>
      </c>
      <c r="J141" t="inlineStr">
        <is>
          <t>0000101829-23-000037</t>
        </is>
      </c>
      <c r="K141" t="inlineStr">
        <is>
          <t>2023-10-24</t>
        </is>
      </c>
    </row>
    <row r="142">
      <c r="A142" t="inlineStr">
        <is>
          <t>RTX</t>
        </is>
      </c>
      <c r="B142" t="inlineStr">
        <is>
          <t>2023Q4</t>
        </is>
      </c>
      <c r="C142" t="inlineStr">
        <is>
          <t>2023-12-31</t>
        </is>
      </c>
      <c r="D142" s="3" t="n">
        <v>196000000000</v>
      </c>
      <c r="E142" t="inlineStr">
        <is>
          <t>0000101829-24-000008</t>
        </is>
      </c>
      <c r="F142" t="inlineStr">
        <is>
          <t>2024-02-05</t>
        </is>
      </c>
      <c r="G142" s="3" t="n">
        <v>19927000000</v>
      </c>
      <c r="H142" t="inlineStr">
        <is>
          <t>fy_minus_9m</t>
        </is>
      </c>
      <c r="I142" t="inlineStr">
        <is>
          <t>Revenues</t>
        </is>
      </c>
      <c r="J142" t="inlineStr">
        <is>
          <t>0000101829-24-000008</t>
        </is>
      </c>
      <c r="K142" t="inlineStr">
        <is>
          <t>2024-02-05</t>
        </is>
      </c>
    </row>
    <row r="143">
      <c r="A143" t="inlineStr">
        <is>
          <t>RTX</t>
        </is>
      </c>
      <c r="B143" t="inlineStr">
        <is>
          <t>2024Q1</t>
        </is>
      </c>
      <c r="C143" t="inlineStr">
        <is>
          <t>2024-03-31</t>
        </is>
      </c>
      <c r="D143" s="3" t="n">
        <v>202000000000</v>
      </c>
      <c r="E143" t="inlineStr">
        <is>
          <t>0000101829-24-000012</t>
        </is>
      </c>
      <c r="F143" t="inlineStr">
        <is>
          <t>2024-04-23</t>
        </is>
      </c>
      <c r="G143" s="3" t="n">
        <v>19305000000</v>
      </c>
      <c r="H143" t="inlineStr">
        <is>
          <t>reported_3m</t>
        </is>
      </c>
      <c r="I143" t="inlineStr">
        <is>
          <t>Revenues</t>
        </is>
      </c>
      <c r="J143" t="inlineStr">
        <is>
          <t>0000101829-24-000012</t>
        </is>
      </c>
      <c r="K143" t="inlineStr">
        <is>
          <t>2024-04-23</t>
        </is>
      </c>
    </row>
    <row r="144">
      <c r="A144" t="inlineStr">
        <is>
          <t>RTX</t>
        </is>
      </c>
      <c r="B144" t="inlineStr">
        <is>
          <t>2024Q2</t>
        </is>
      </c>
      <c r="C144" t="inlineStr">
        <is>
          <t>2024-06-30</t>
        </is>
      </c>
      <c r="D144" s="3" t="n">
        <v>206000000000</v>
      </c>
      <c r="E144" t="inlineStr">
        <is>
          <t>0000101829-24-000027</t>
        </is>
      </c>
      <c r="F144" t="inlineStr">
        <is>
          <t>2024-07-25</t>
        </is>
      </c>
      <c r="G144" s="3" t="n">
        <v>19721000000</v>
      </c>
      <c r="H144" t="inlineStr">
        <is>
          <t>reported_3m</t>
        </is>
      </c>
      <c r="I144" t="inlineStr">
        <is>
          <t>Revenues</t>
        </is>
      </c>
      <c r="J144" t="inlineStr">
        <is>
          <t>0000101829-24-000027</t>
        </is>
      </c>
      <c r="K144" t="inlineStr">
        <is>
          <t>2024-07-25</t>
        </is>
      </c>
    </row>
    <row r="145">
      <c r="A145" t="inlineStr">
        <is>
          <t>RTX</t>
        </is>
      </c>
      <c r="B145" t="inlineStr">
        <is>
          <t>2024Q3</t>
        </is>
      </c>
      <c r="C145" t="inlineStr">
        <is>
          <t>2024-09-30</t>
        </is>
      </c>
      <c r="D145" s="3" t="n">
        <v>221000000000</v>
      </c>
      <c r="E145" t="inlineStr">
        <is>
          <t>0000101829-24-000038</t>
        </is>
      </c>
      <c r="F145" t="inlineStr">
        <is>
          <t>2024-10-22</t>
        </is>
      </c>
      <c r="G145" s="3" t="n">
        <v>20089000000</v>
      </c>
      <c r="H145" t="inlineStr">
        <is>
          <t>reported_3m</t>
        </is>
      </c>
      <c r="I145" t="inlineStr">
        <is>
          <t>Revenues</t>
        </is>
      </c>
      <c r="J145" t="inlineStr">
        <is>
          <t>0000101829-24-000038</t>
        </is>
      </c>
      <c r="K145" t="inlineStr">
        <is>
          <t>2024-10-22</t>
        </is>
      </c>
    </row>
    <row r="146">
      <c r="A146" t="inlineStr">
        <is>
          <t>RTX</t>
        </is>
      </c>
      <c r="B146" t="inlineStr">
        <is>
          <t>2024Q4</t>
        </is>
      </c>
      <c r="C146" t="inlineStr">
        <is>
          <t>2024-12-31</t>
        </is>
      </c>
      <c r="D146" s="3" t="n">
        <v>218000000000</v>
      </c>
      <c r="E146" t="inlineStr">
        <is>
          <t>0000101829-25-000005</t>
        </is>
      </c>
      <c r="F146" t="inlineStr">
        <is>
          <t>2025-02-03</t>
        </is>
      </c>
      <c r="G146" s="3" t="n">
        <v>21623000000</v>
      </c>
      <c r="H146" t="inlineStr">
        <is>
          <t>fy_minus_9m</t>
        </is>
      </c>
      <c r="I146" t="inlineStr">
        <is>
          <t>Revenues</t>
        </is>
      </c>
      <c r="J146" t="inlineStr">
        <is>
          <t>0000101829-25-000005</t>
        </is>
      </c>
      <c r="K146" t="inlineStr">
        <is>
          <t>2025-02-03</t>
        </is>
      </c>
    </row>
    <row r="147">
      <c r="A147" t="inlineStr">
        <is>
          <t>RTX</t>
        </is>
      </c>
      <c r="B147" t="inlineStr">
        <is>
          <t>2025Q1</t>
        </is>
      </c>
      <c r="C147" t="inlineStr">
        <is>
          <t>2025-03-31</t>
        </is>
      </c>
      <c r="D147" s="3" t="n">
        <v>217000000000</v>
      </c>
      <c r="E147" t="inlineStr">
        <is>
          <t>0000101829-25-000015</t>
        </is>
      </c>
      <c r="F147" t="inlineStr">
        <is>
          <t>2025-04-22</t>
        </is>
      </c>
      <c r="G147" s="3" t="n">
        <v>20306000000</v>
      </c>
      <c r="H147" t="inlineStr">
        <is>
          <t>reported_3m</t>
        </is>
      </c>
      <c r="I147" t="inlineStr">
        <is>
          <t>RevenueFromContractWithCustomerExcludingAssessedTax</t>
        </is>
      </c>
      <c r="J147" t="inlineStr">
        <is>
          <t>0000101829-25-000015</t>
        </is>
      </c>
      <c r="K147" t="inlineStr">
        <is>
          <t>2025-04-22</t>
        </is>
      </c>
    </row>
    <row r="148">
      <c r="A148" t="inlineStr">
        <is>
          <t>RTX</t>
        </is>
      </c>
      <c r="B148" t="inlineStr">
        <is>
          <t>2025Q2</t>
        </is>
      </c>
      <c r="C148" t="inlineStr">
        <is>
          <t>2025-06-30</t>
        </is>
      </c>
      <c r="D148" s="3" t="n">
        <v>236000000000</v>
      </c>
      <c r="E148" t="inlineStr">
        <is>
          <t>0000101829-25-000032</t>
        </is>
      </c>
      <c r="F148" t="inlineStr">
        <is>
          <t>2025-07-22</t>
        </is>
      </c>
      <c r="G148" s="3" t="n">
        <v>21581000000</v>
      </c>
      <c r="H148" t="inlineStr">
        <is>
          <t>reported_3m</t>
        </is>
      </c>
      <c r="I148" t="inlineStr">
        <is>
          <t>RevenueFromContractWithCustomerExcludingAssessedTax</t>
        </is>
      </c>
      <c r="J148" t="inlineStr">
        <is>
          <t>0000101829-25-000032</t>
        </is>
      </c>
      <c r="K148" t="inlineStr">
        <is>
          <t>2025-07-22</t>
        </is>
      </c>
    </row>
    <row r="149">
      <c r="A149" t="inlineStr">
        <is>
          <t>RTX</t>
        </is>
      </c>
      <c r="B149" t="inlineStr">
        <is>
          <t>2025Q3</t>
        </is>
      </c>
      <c r="C149" t="inlineStr">
        <is>
          <t>2025-09-30</t>
        </is>
      </c>
      <c r="D149" s="3" t="n">
        <v>251000000000</v>
      </c>
      <c r="E149" t="inlineStr">
        <is>
          <t>0000101829-25-000042</t>
        </is>
      </c>
      <c r="F149" t="inlineStr">
        <is>
          <t>2025-10-21</t>
        </is>
      </c>
      <c r="G149" s="3" t="n">
        <v>22478000000</v>
      </c>
      <c r="H149" t="inlineStr">
        <is>
          <t>reported_3m</t>
        </is>
      </c>
      <c r="I149" t="inlineStr">
        <is>
          <t>RevenueFromContractWithCustomerExcludingAssessedTax</t>
        </is>
      </c>
      <c r="J149" t="inlineStr">
        <is>
          <t>0000101829-25-000042</t>
        </is>
      </c>
      <c r="K149" t="inlineStr">
        <is>
          <t>2025-10-21</t>
        </is>
      </c>
    </row>
    <row r="150">
      <c r="A150" t="inlineStr">
        <is>
          <t>RTX</t>
        </is>
      </c>
      <c r="B150" t="inlineStr">
        <is>
          <t>2025Q4</t>
        </is>
      </c>
      <c r="C150" t="inlineStr">
        <is>
          <t>2025-12-31</t>
        </is>
      </c>
      <c r="D150" s="3" t="n">
        <v>268000000000</v>
      </c>
      <c r="E150" t="inlineStr">
        <is>
          <t>0000101829-26-000006</t>
        </is>
      </c>
      <c r="F150" t="inlineStr">
        <is>
          <t>2026-02-06</t>
        </is>
      </c>
      <c r="G150" s="3" t="n">
        <v>24238000000</v>
      </c>
      <c r="H150" t="inlineStr">
        <is>
          <t>fy_minus_9m</t>
        </is>
      </c>
      <c r="I150" t="inlineStr">
        <is>
          <t>RevenueFromContractWithCustomerExcludingAssessedTax</t>
        </is>
      </c>
      <c r="J150" t="inlineStr">
        <is>
          <t>0000101829-26-000006</t>
        </is>
      </c>
      <c r="K150" t="inlineStr">
        <is>
          <t>2026-02-06</t>
        </is>
      </c>
    </row>
    <row r="151">
      <c r="A151" t="inlineStr">
        <is>
          <t>RTX</t>
        </is>
      </c>
      <c r="B151" t="inlineStr">
        <is>
          <t>2026Q1</t>
        </is>
      </c>
      <c r="C151" t="inlineStr">
        <is>
          <t>2026-03-31</t>
        </is>
      </c>
      <c r="D151" s="3" t="n">
        <v>271000000000</v>
      </c>
      <c r="E151" t="inlineStr">
        <is>
          <t>0000101829-26-000011</t>
        </is>
      </c>
      <c r="F151" t="inlineStr">
        <is>
          <t>2026-04-21</t>
        </is>
      </c>
      <c r="G151" s="3" t="n">
        <v>22076000000</v>
      </c>
      <c r="H151" t="inlineStr">
        <is>
          <t>reported_3m</t>
        </is>
      </c>
      <c r="I151" t="inlineStr">
        <is>
          <t>RevenueFromContractWithCustomerExcludingAssessedTax</t>
        </is>
      </c>
      <c r="J151" t="inlineStr">
        <is>
          <t>0000101829-26-000011</t>
        </is>
      </c>
      <c r="K151" t="inlineStr">
        <is>
          <t>2026-04-21</t>
        </is>
      </c>
    </row>
    <row r="152">
      <c r="A152" t="inlineStr">
        <is>
          <t>RTX</t>
        </is>
      </c>
      <c r="B152" t="inlineStr">
        <is>
          <t>2026Q2</t>
        </is>
      </c>
      <c r="C152" t="inlineStr">
        <is>
          <t>2026-06-30</t>
        </is>
      </c>
      <c r="D152" s="3" t="n">
        <v>289000000000</v>
      </c>
      <c r="E152" t="inlineStr">
        <is>
          <t>0000101829-26-000027</t>
        </is>
      </c>
      <c r="F152" t="inlineStr">
        <is>
          <t>2026-07-23</t>
        </is>
      </c>
      <c r="G152" s="3" t="n">
        <v>24708000000</v>
      </c>
      <c r="H152" t="inlineStr">
        <is>
          <t>reported_3m</t>
        </is>
      </c>
      <c r="I152" t="inlineStr">
        <is>
          <t>RevenueFromContractWithCustomerExcludingAssessedTax</t>
        </is>
      </c>
      <c r="J152" t="inlineStr">
        <is>
          <t>0000101829-26-000027</t>
        </is>
      </c>
      <c r="K152" t="inlineStr">
        <is>
          <t>2026-07-23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1" t="inlineStr">
        <is>
          <t>Quarter</t>
        </is>
      </c>
      <c r="B1" s="4" t="inlineStr">
        <is>
          <t>2018Q1</t>
        </is>
      </c>
      <c r="C1" s="4" t="inlineStr">
        <is>
          <t>2018Q2</t>
        </is>
      </c>
      <c r="D1" s="4" t="inlineStr">
        <is>
          <t>2018Q3</t>
        </is>
      </c>
      <c r="E1" s="4" t="inlineStr">
        <is>
          <t>2018Q4</t>
        </is>
      </c>
      <c r="F1" s="4" t="inlineStr">
        <is>
          <t>2019Q1</t>
        </is>
      </c>
      <c r="G1" s="4" t="inlineStr">
        <is>
          <t>2019Q2</t>
        </is>
      </c>
      <c r="H1" s="4" t="inlineStr">
        <is>
          <t>2019Q3</t>
        </is>
      </c>
      <c r="I1" s="4" t="inlineStr">
        <is>
          <t>2019Q4</t>
        </is>
      </c>
      <c r="J1" s="4" t="inlineStr">
        <is>
          <t>2020Q1</t>
        </is>
      </c>
      <c r="K1" s="4" t="inlineStr">
        <is>
          <t>2020Q2</t>
        </is>
      </c>
      <c r="L1" s="4" t="inlineStr">
        <is>
          <t>2020Q3</t>
        </is>
      </c>
      <c r="M1" s="4" t="inlineStr">
        <is>
          <t>2020Q4</t>
        </is>
      </c>
      <c r="N1" s="4" t="inlineStr">
        <is>
          <t>2021Q1</t>
        </is>
      </c>
      <c r="O1" s="4" t="inlineStr">
        <is>
          <t>2021Q2</t>
        </is>
      </c>
      <c r="P1" s="4" t="inlineStr">
        <is>
          <t>2021Q3</t>
        </is>
      </c>
      <c r="Q1" s="4" t="inlineStr">
        <is>
          <t>2021Q4</t>
        </is>
      </c>
      <c r="R1" s="4" t="inlineStr">
        <is>
          <t>2022Q1</t>
        </is>
      </c>
      <c r="S1" s="4" t="inlineStr">
        <is>
          <t>2022Q2</t>
        </is>
      </c>
      <c r="T1" s="4" t="inlineStr">
        <is>
          <t>2022Q3</t>
        </is>
      </c>
      <c r="U1" s="4" t="inlineStr">
        <is>
          <t>2022Q4</t>
        </is>
      </c>
      <c r="V1" s="4" t="inlineStr">
        <is>
          <t>2023Q1</t>
        </is>
      </c>
      <c r="W1" s="4" t="inlineStr">
        <is>
          <t>2023Q2</t>
        </is>
      </c>
      <c r="X1" s="4" t="inlineStr">
        <is>
          <t>2023Q3</t>
        </is>
      </c>
      <c r="Y1" s="4" t="inlineStr">
        <is>
          <t>2023Q4</t>
        </is>
      </c>
      <c r="Z1" s="4" t="inlineStr">
        <is>
          <t>2024Q1</t>
        </is>
      </c>
      <c r="AA1" s="4" t="inlineStr">
        <is>
          <t>2024Q2</t>
        </is>
      </c>
      <c r="AB1" s="4" t="inlineStr">
        <is>
          <t>2024Q3</t>
        </is>
      </c>
      <c r="AC1" s="4" t="inlineStr">
        <is>
          <t>2024Q4</t>
        </is>
      </c>
      <c r="AD1" s="4" t="inlineStr">
        <is>
          <t>2025Q1</t>
        </is>
      </c>
      <c r="AE1" s="4" t="inlineStr">
        <is>
          <t>2025Q2</t>
        </is>
      </c>
      <c r="AF1" s="4" t="inlineStr">
        <is>
          <t>2025Q3</t>
        </is>
      </c>
      <c r="AG1" s="4" t="inlineStr">
        <is>
          <t>2025Q4</t>
        </is>
      </c>
      <c r="AH1" s="4" t="inlineStr">
        <is>
          <t>2026Q1</t>
        </is>
      </c>
      <c r="AI1" s="4" t="inlineStr">
        <is>
          <t>2026Q2</t>
        </is>
      </c>
    </row>
    <row r="2">
      <c r="A2" t="inlineStr">
        <is>
          <t>Backlog (RPO)</t>
        </is>
      </c>
      <c r="B2" s="3" t="n">
        <v>22100</v>
      </c>
      <c r="C2" s="3" t="n">
        <v>21200</v>
      </c>
      <c r="D2" s="3" t="n">
        <v>21900</v>
      </c>
      <c r="E2" s="3" t="n">
        <v>23000</v>
      </c>
      <c r="F2" s="3" t="n">
        <v>40600</v>
      </c>
      <c r="G2" s="3" t="n">
        <v>39400</v>
      </c>
      <c r="H2" s="3" t="n">
        <v>39200</v>
      </c>
      <c r="I2" s="3" t="n">
        <v>46500</v>
      </c>
      <c r="J2" s="3" t="n">
        <v>45200</v>
      </c>
      <c r="K2" s="3" t="n">
        <v>46100</v>
      </c>
      <c r="L2" s="3" t="n">
        <v>45300</v>
      </c>
      <c r="M2" s="3" t="n">
        <v>46000</v>
      </c>
      <c r="N2" s="3" t="n">
        <v>48800</v>
      </c>
      <c r="O2" s="3" t="n">
        <v>47700</v>
      </c>
      <c r="P2" s="3" t="n">
        <v>50100</v>
      </c>
      <c r="Q2" s="3" t="n">
        <v>48500</v>
      </c>
      <c r="R2" s="3" t="n">
        <v>47900</v>
      </c>
      <c r="S2" s="3" t="n">
        <v>47200</v>
      </c>
      <c r="T2" s="3" t="n">
        <v>46700</v>
      </c>
      <c r="U2" s="3" t="n">
        <v>47100</v>
      </c>
      <c r="V2" s="3" t="n">
        <v>47000</v>
      </c>
      <c r="W2" s="3" t="n">
        <v>46900</v>
      </c>
      <c r="X2" s="3" t="n">
        <v>49400</v>
      </c>
      <c r="Y2" s="3" t="n">
        <v>48100</v>
      </c>
      <c r="Z2" s="3" t="n">
        <v>48400</v>
      </c>
      <c r="AA2" s="3" t="n">
        <v>48500</v>
      </c>
      <c r="AB2" s="3" t="n">
        <v>49400</v>
      </c>
      <c r="AC2" s="3" t="n">
        <v>48700</v>
      </c>
      <c r="AD2" s="3" t="n">
        <v>48000</v>
      </c>
      <c r="AE2" s="3" t="n">
        <v>56900</v>
      </c>
      <c r="AF2" s="3" t="n">
        <v>55700</v>
      </c>
      <c r="AG2" s="3" t="n">
        <v>53100</v>
      </c>
      <c r="AH2" s="3" t="n">
        <v>54000</v>
      </c>
      <c r="AI2" s="3" t="n">
        <v>57300</v>
      </c>
    </row>
    <row r="3">
      <c r="A3" t="inlineStr">
        <is>
          <t>Revenue</t>
        </is>
      </c>
      <c r="B3" s="3" t="n">
        <v>1874</v>
      </c>
      <c r="C3" s="3" t="n">
        <v>2020</v>
      </c>
      <c r="D3" s="3" t="n">
        <v>2083</v>
      </c>
      <c r="E3" s="3" t="n">
        <v>2199</v>
      </c>
      <c r="F3" s="3" t="n">
        <v>2080</v>
      </c>
      <c r="G3" s="3" t="n">
        <v>2188</v>
      </c>
      <c r="H3" s="3" t="n">
        <v>2219</v>
      </c>
      <c r="I3" s="3" t="n">
        <v>2412</v>
      </c>
      <c r="J3" s="3" t="n">
        <v>2263</v>
      </c>
      <c r="K3" s="3" t="n">
        <v>2027</v>
      </c>
      <c r="L3" s="3" t="n">
        <v>2314</v>
      </c>
      <c r="M3" s="3" t="n">
        <v>2757</v>
      </c>
      <c r="N3" s="3" t="n">
        <v>2278</v>
      </c>
      <c r="O3" s="3" t="n">
        <v>2231</v>
      </c>
      <c r="P3" s="3" t="n">
        <v>2338</v>
      </c>
      <c r="Q3" s="3" t="n">
        <v>2677</v>
      </c>
      <c r="R3" s="3" t="n">
        <v>2576</v>
      </c>
      <c r="S3" s="3" t="n">
        <v>2662</v>
      </c>
      <c r="T3" s="3" t="n">
        <v>2626</v>
      </c>
      <c r="U3" s="3" t="n">
        <v>2812</v>
      </c>
      <c r="V3" s="3" t="n">
        <v>2674</v>
      </c>
      <c r="W3" s="3" t="n">
        <v>2787</v>
      </c>
      <c r="X3" s="3" t="n">
        <v>2816</v>
      </c>
      <c r="Y3" s="3" t="n">
        <v>3177</v>
      </c>
      <c r="Z3" s="3" t="n">
        <v>2805</v>
      </c>
      <c r="AA3" s="3" t="n">
        <v>2977</v>
      </c>
      <c r="AB3" s="3" t="n">
        <v>2749</v>
      </c>
      <c r="AC3" s="3" t="n">
        <v>3004</v>
      </c>
      <c r="AD3" s="3" t="n">
        <v>2734</v>
      </c>
      <c r="AE3" s="3" t="n">
        <v>3082</v>
      </c>
      <c r="AF3" s="3" t="n">
        <v>3192</v>
      </c>
      <c r="AG3" s="3" t="n">
        <v>3476</v>
      </c>
      <c r="AH3" s="3" t="n">
        <v>3099</v>
      </c>
      <c r="AI3" s="3" t="n">
        <v>3418</v>
      </c>
    </row>
    <row r="4">
      <c r="A4" t="inlineStr">
        <is>
          <t>Implied bookings</t>
        </is>
      </c>
      <c r="C4" s="5">
        <f>C2-B2+C3</f>
        <v/>
      </c>
      <c r="D4" s="5">
        <f>D2-C2+D3</f>
        <v/>
      </c>
      <c r="E4" s="5">
        <f>E2-D2+E3</f>
        <v/>
      </c>
      <c r="F4" s="5">
        <f>F2-E2+F3</f>
        <v/>
      </c>
      <c r="G4" s="5">
        <f>G2-F2+G3</f>
        <v/>
      </c>
      <c r="H4" s="5">
        <f>H2-G2+H3</f>
        <v/>
      </c>
      <c r="I4" s="5">
        <f>I2-H2+I3</f>
        <v/>
      </c>
      <c r="J4" s="5">
        <f>J2-I2+J3</f>
        <v/>
      </c>
      <c r="K4" s="5">
        <f>K2-J2+K3</f>
        <v/>
      </c>
      <c r="L4" s="5">
        <f>L2-K2+L3</f>
        <v/>
      </c>
      <c r="M4" s="5">
        <f>M2-L2+M3</f>
        <v/>
      </c>
      <c r="N4" s="5">
        <f>N2-M2+N3</f>
        <v/>
      </c>
      <c r="O4" s="5">
        <f>O2-N2+O3</f>
        <v/>
      </c>
      <c r="P4" s="5">
        <f>P2-O2+P3</f>
        <v/>
      </c>
      <c r="Q4" s="5">
        <f>Q2-P2+Q3</f>
        <v/>
      </c>
      <c r="R4" s="5">
        <f>R2-Q2+R3</f>
        <v/>
      </c>
      <c r="S4" s="5">
        <f>S2-R2+S3</f>
        <v/>
      </c>
      <c r="T4" s="5">
        <f>T2-S2+T3</f>
        <v/>
      </c>
      <c r="U4" s="5">
        <f>U2-T2+U3</f>
        <v/>
      </c>
      <c r="V4" s="5">
        <f>V2-U2+V3</f>
        <v/>
      </c>
      <c r="W4" s="5">
        <f>W2-V2+W3</f>
        <v/>
      </c>
      <c r="X4" s="5">
        <f>X2-W2+X3</f>
        <v/>
      </c>
      <c r="Y4" s="5">
        <f>Y2-X2+Y3</f>
        <v/>
      </c>
      <c r="Z4" s="5">
        <f>Z2-Y2+Z3</f>
        <v/>
      </c>
      <c r="AA4" s="5">
        <f>AA2-Z2+AA3</f>
        <v/>
      </c>
      <c r="AB4" s="5">
        <f>AB2-AA2+AB3</f>
        <v/>
      </c>
      <c r="AC4" s="5">
        <f>AC2-AB2+AC3</f>
        <v/>
      </c>
      <c r="AD4" s="5">
        <f>AD2-AC2+AD3</f>
        <v/>
      </c>
      <c r="AE4" s="5">
        <f>AE2-AD2+AE3</f>
        <v/>
      </c>
      <c r="AF4" s="5">
        <f>AF2-AE2+AF3</f>
        <v/>
      </c>
      <c r="AG4" s="5">
        <f>AG2-AF2+AG3</f>
        <v/>
      </c>
      <c r="AH4" s="5">
        <f>AH2-AG2+AH3</f>
        <v/>
      </c>
      <c r="AI4" s="5">
        <f>AI2-AH2+AI3</f>
        <v/>
      </c>
    </row>
    <row r="5">
      <c r="A5" t="inlineStr">
        <is>
          <t>Book-to-bill</t>
        </is>
      </c>
      <c r="C5" s="6">
        <f>C4/C3</f>
        <v/>
      </c>
      <c r="D5" s="6">
        <f>D4/D3</f>
        <v/>
      </c>
      <c r="E5" s="6">
        <f>E4/E3</f>
        <v/>
      </c>
      <c r="F5" s="6">
        <f>F4/F3</f>
        <v/>
      </c>
      <c r="G5" s="6">
        <f>G4/G3</f>
        <v/>
      </c>
      <c r="H5" s="6">
        <f>H4/H3</f>
        <v/>
      </c>
      <c r="I5" s="6">
        <f>I4/I3</f>
        <v/>
      </c>
      <c r="J5" s="6">
        <f>J4/J3</f>
        <v/>
      </c>
      <c r="K5" s="6">
        <f>K4/K3</f>
        <v/>
      </c>
      <c r="L5" s="6">
        <f>L4/L3</f>
        <v/>
      </c>
      <c r="M5" s="6">
        <f>M4/M3</f>
        <v/>
      </c>
      <c r="N5" s="6">
        <f>N4/N3</f>
        <v/>
      </c>
      <c r="O5" s="6">
        <f>O4/O3</f>
        <v/>
      </c>
      <c r="P5" s="6">
        <f>P4/P3</f>
        <v/>
      </c>
      <c r="Q5" s="6">
        <f>Q4/Q3</f>
        <v/>
      </c>
      <c r="R5" s="6">
        <f>R4/R3</f>
        <v/>
      </c>
      <c r="S5" s="6">
        <f>S4/S3</f>
        <v/>
      </c>
      <c r="T5" s="6">
        <f>T4/T3</f>
        <v/>
      </c>
      <c r="U5" s="6">
        <f>U4/U3</f>
        <v/>
      </c>
      <c r="V5" s="6">
        <f>V4/V3</f>
        <v/>
      </c>
      <c r="W5" s="6">
        <f>W4/W3</f>
        <v/>
      </c>
      <c r="X5" s="6">
        <f>X4/X3</f>
        <v/>
      </c>
      <c r="Y5" s="6">
        <f>Y4/Y3</f>
        <v/>
      </c>
      <c r="Z5" s="6">
        <f>Z4/Z3</f>
        <v/>
      </c>
      <c r="AA5" s="6">
        <f>AA4/AA3</f>
        <v/>
      </c>
      <c r="AB5" s="6">
        <f>AB4/AB3</f>
        <v/>
      </c>
      <c r="AC5" s="6">
        <f>AC4/AC3</f>
        <v/>
      </c>
      <c r="AD5" s="6">
        <f>AD4/AD3</f>
        <v/>
      </c>
      <c r="AE5" s="6">
        <f>AE4/AE3</f>
        <v/>
      </c>
      <c r="AF5" s="6">
        <f>AF4/AF3</f>
        <v/>
      </c>
      <c r="AG5" s="6">
        <f>AG4/AG3</f>
        <v/>
      </c>
      <c r="AH5" s="6">
        <f>AH4/AH3</f>
        <v/>
      </c>
      <c r="AI5" s="6">
        <f>AI4/AI3</f>
        <v/>
      </c>
    </row>
    <row r="6">
      <c r="A6" t="inlineStr">
        <is>
          <t>Conversion 1Q</t>
        </is>
      </c>
      <c r="B6" s="6">
        <f>C3/B2</f>
        <v/>
      </c>
      <c r="C6" s="6">
        <f>D3/C2</f>
        <v/>
      </c>
      <c r="D6" s="6">
        <f>E3/D2</f>
        <v/>
      </c>
      <c r="E6" s="6">
        <f>F3/E2</f>
        <v/>
      </c>
      <c r="F6" s="6">
        <f>G3/F2</f>
        <v/>
      </c>
      <c r="G6" s="6">
        <f>H3/G2</f>
        <v/>
      </c>
      <c r="H6" s="6">
        <f>I3/H2</f>
        <v/>
      </c>
      <c r="I6" s="6">
        <f>J3/I2</f>
        <v/>
      </c>
      <c r="J6" s="6">
        <f>K3/J2</f>
        <v/>
      </c>
      <c r="K6" s="6">
        <f>L3/K2</f>
        <v/>
      </c>
      <c r="L6" s="6">
        <f>M3/L2</f>
        <v/>
      </c>
      <c r="M6" s="6">
        <f>N3/M2</f>
        <v/>
      </c>
      <c r="N6" s="6">
        <f>O3/N2</f>
        <v/>
      </c>
      <c r="O6" s="6">
        <f>P3/O2</f>
        <v/>
      </c>
      <c r="P6" s="6">
        <f>Q3/P2</f>
        <v/>
      </c>
      <c r="Q6" s="6">
        <f>R3/Q2</f>
        <v/>
      </c>
      <c r="R6" s="6">
        <f>S3/R2</f>
        <v/>
      </c>
      <c r="S6" s="6">
        <f>T3/S2</f>
        <v/>
      </c>
      <c r="T6" s="6">
        <f>U3/T2</f>
        <v/>
      </c>
      <c r="U6" s="6">
        <f>V3/U2</f>
        <v/>
      </c>
      <c r="V6" s="6">
        <f>W3/V2</f>
        <v/>
      </c>
      <c r="W6" s="6">
        <f>X3/W2</f>
        <v/>
      </c>
      <c r="X6" s="6">
        <f>Y3/X2</f>
        <v/>
      </c>
      <c r="Y6" s="6">
        <f>Z3/Y2</f>
        <v/>
      </c>
      <c r="Z6" s="6">
        <f>AA3/Z2</f>
        <v/>
      </c>
      <c r="AA6" s="6">
        <f>AB3/AA2</f>
        <v/>
      </c>
      <c r="AB6" s="6">
        <f>AC3/AB2</f>
        <v/>
      </c>
      <c r="AC6" s="6">
        <f>AD3/AC2</f>
        <v/>
      </c>
      <c r="AD6" s="6">
        <f>AE3/AD2</f>
        <v/>
      </c>
      <c r="AE6" s="6">
        <f>AF3/AE2</f>
        <v/>
      </c>
      <c r="AF6" s="6">
        <f>AG3/AF2</f>
        <v/>
      </c>
      <c r="AG6" s="6">
        <f>AH3/AG2</f>
        <v/>
      </c>
      <c r="AH6" s="6">
        <f>AI3/AH2</f>
        <v/>
      </c>
    </row>
    <row r="7">
      <c r="A7" t="inlineStr">
        <is>
          <t>Conversion 4Q</t>
        </is>
      </c>
      <c r="B7" s="6">
        <f>SUM(C3:F3)/B2</f>
        <v/>
      </c>
      <c r="C7" s="6">
        <f>SUM(D3:G3)/C2</f>
        <v/>
      </c>
      <c r="D7" s="6">
        <f>SUM(E3:H3)/D2</f>
        <v/>
      </c>
      <c r="E7" s="6">
        <f>SUM(F3:I3)/E2</f>
        <v/>
      </c>
      <c r="F7" s="6">
        <f>SUM(G3:J3)/F2</f>
        <v/>
      </c>
      <c r="G7" s="6">
        <f>SUM(H3:K3)/G2</f>
        <v/>
      </c>
      <c r="H7" s="6">
        <f>SUM(I3:L3)/H2</f>
        <v/>
      </c>
      <c r="I7" s="6">
        <f>SUM(J3:M3)/I2</f>
        <v/>
      </c>
      <c r="J7" s="6">
        <f>SUM(K3:N3)/J2</f>
        <v/>
      </c>
      <c r="K7" s="6">
        <f>SUM(L3:O3)/K2</f>
        <v/>
      </c>
      <c r="L7" s="6">
        <f>SUM(M3:P3)/L2</f>
        <v/>
      </c>
      <c r="M7" s="6">
        <f>SUM(N3:Q3)/M2</f>
        <v/>
      </c>
      <c r="N7" s="6">
        <f>SUM(O3:R3)/N2</f>
        <v/>
      </c>
      <c r="O7" s="6">
        <f>SUM(P3:S3)/O2</f>
        <v/>
      </c>
      <c r="P7" s="6">
        <f>SUM(Q3:T3)/P2</f>
        <v/>
      </c>
      <c r="Q7" s="6">
        <f>SUM(R3:U3)/Q2</f>
        <v/>
      </c>
      <c r="R7" s="6">
        <f>SUM(S3:V3)/R2</f>
        <v/>
      </c>
      <c r="S7" s="6">
        <f>SUM(T3:W3)/S2</f>
        <v/>
      </c>
      <c r="T7" s="6">
        <f>SUM(U3:X3)/T2</f>
        <v/>
      </c>
      <c r="U7" s="6">
        <f>SUM(V3:Y3)/U2</f>
        <v/>
      </c>
      <c r="V7" s="6">
        <f>SUM(W3:Z3)/V2</f>
        <v/>
      </c>
      <c r="W7" s="6">
        <f>SUM(X3:AA3)/W2</f>
        <v/>
      </c>
      <c r="X7" s="6">
        <f>SUM(Y3:AB3)/X2</f>
        <v/>
      </c>
      <c r="Y7" s="6">
        <f>SUM(Z3:AC3)/Y2</f>
        <v/>
      </c>
      <c r="Z7" s="6">
        <f>SUM(AA3:AD3)/Z2</f>
        <v/>
      </c>
      <c r="AA7" s="6">
        <f>SUM(AB3:AE3)/AA2</f>
        <v/>
      </c>
      <c r="AB7" s="6">
        <f>SUM(AC3:AF3)/AB2</f>
        <v/>
      </c>
      <c r="AC7" s="6">
        <f>SUM(AD3:AG3)/AC2</f>
        <v/>
      </c>
      <c r="AD7" s="6">
        <f>SUM(AE3:AH3)/AD2</f>
        <v/>
      </c>
      <c r="AE7" s="6">
        <f>SUM(AF3:AI3)/AE2</f>
        <v/>
      </c>
    </row>
    <row r="8">
      <c r="A8" t="inlineStr">
        <is>
          <t>H1 backlog forecast</t>
        </is>
      </c>
      <c r="K8" s="5">
        <f>J2*AVERAGE(F6,B6)</f>
        <v/>
      </c>
      <c r="L8" s="5">
        <f>K2*AVERAGE(G6,C6)</f>
        <v/>
      </c>
      <c r="M8" s="5">
        <f>L2*AVERAGE(H6,D6)</f>
        <v/>
      </c>
      <c r="N8" s="5">
        <f>M2*AVERAGE(I6,E6)</f>
        <v/>
      </c>
      <c r="O8" s="5">
        <f>N2*AVERAGE(J6,F6)</f>
        <v/>
      </c>
      <c r="P8" s="5">
        <f>O2*AVERAGE(K6,G6)</f>
        <v/>
      </c>
      <c r="Q8" s="5">
        <f>P2*AVERAGE(L6,H6)</f>
        <v/>
      </c>
      <c r="R8" s="5">
        <f>Q2*AVERAGE(M6,I6)</f>
        <v/>
      </c>
      <c r="S8" s="5">
        <f>R2*AVERAGE(N6,J6)</f>
        <v/>
      </c>
      <c r="T8" s="5">
        <f>S2*AVERAGE(O6,K6)</f>
        <v/>
      </c>
      <c r="U8" s="5">
        <f>T2*AVERAGE(P6,L6)</f>
        <v/>
      </c>
      <c r="V8" s="5">
        <f>U2*AVERAGE(Q6,M6)</f>
        <v/>
      </c>
      <c r="W8" s="5">
        <f>V2*AVERAGE(R6,N6)</f>
        <v/>
      </c>
      <c r="X8" s="5">
        <f>W2*AVERAGE(S6,O6)</f>
        <v/>
      </c>
      <c r="Y8" s="5">
        <f>X2*AVERAGE(T6,P6)</f>
        <v/>
      </c>
      <c r="Z8" s="5">
        <f>Y2*AVERAGE(U6,Q6)</f>
        <v/>
      </c>
      <c r="AA8" s="5">
        <f>Z2*AVERAGE(V6,R6)</f>
        <v/>
      </c>
      <c r="AB8" s="5">
        <f>AA2*AVERAGE(W6,S6)</f>
        <v/>
      </c>
      <c r="AC8" s="5">
        <f>AB2*AVERAGE(X6,T6)</f>
        <v/>
      </c>
      <c r="AD8" s="5">
        <f>AC2*AVERAGE(Y6,U6)</f>
        <v/>
      </c>
      <c r="AE8" s="5">
        <f>AD2*AVERAGE(Z6,V6)</f>
        <v/>
      </c>
      <c r="AF8" s="5">
        <f>AE2*AVERAGE(AA6,W6)</f>
        <v/>
      </c>
      <c r="AG8" s="5">
        <f>AF2*AVERAGE(AB6,X6)</f>
        <v/>
      </c>
      <c r="AH8" s="5">
        <f>AG2*AVERAGE(AC6,Y6)</f>
        <v/>
      </c>
      <c r="AI8" s="5">
        <f>AH2*AVERAGE(AD6,Z6)</f>
        <v/>
      </c>
    </row>
    <row r="9">
      <c r="A9" t="inlineStr">
        <is>
          <t>H1 seasonal naive</t>
        </is>
      </c>
      <c r="K9" s="5">
        <f>G3</f>
        <v/>
      </c>
      <c r="L9" s="5">
        <f>H3</f>
        <v/>
      </c>
      <c r="M9" s="5">
        <f>I3</f>
        <v/>
      </c>
      <c r="N9" s="5">
        <f>J3</f>
        <v/>
      </c>
      <c r="O9" s="5">
        <f>K3</f>
        <v/>
      </c>
      <c r="P9" s="5">
        <f>L3</f>
        <v/>
      </c>
      <c r="Q9" s="5">
        <f>M3</f>
        <v/>
      </c>
      <c r="R9" s="5">
        <f>N3</f>
        <v/>
      </c>
      <c r="S9" s="5">
        <f>O3</f>
        <v/>
      </c>
      <c r="T9" s="5">
        <f>P3</f>
        <v/>
      </c>
      <c r="U9" s="5">
        <f>Q3</f>
        <v/>
      </c>
      <c r="V9" s="5">
        <f>R3</f>
        <v/>
      </c>
      <c r="W9" s="5">
        <f>S3</f>
        <v/>
      </c>
      <c r="X9" s="5">
        <f>T3</f>
        <v/>
      </c>
      <c r="Y9" s="5">
        <f>U3</f>
        <v/>
      </c>
      <c r="Z9" s="5">
        <f>V3</f>
        <v/>
      </c>
      <c r="AA9" s="5">
        <f>W3</f>
        <v/>
      </c>
      <c r="AB9" s="5">
        <f>X3</f>
        <v/>
      </c>
      <c r="AC9" s="5">
        <f>Y3</f>
        <v/>
      </c>
      <c r="AD9" s="5">
        <f>Z3</f>
        <v/>
      </c>
      <c r="AE9" s="5">
        <f>AA3</f>
        <v/>
      </c>
      <c r="AF9" s="5">
        <f>AB3</f>
        <v/>
      </c>
      <c r="AG9" s="5">
        <f>AC3</f>
        <v/>
      </c>
      <c r="AH9" s="5">
        <f>AD3</f>
        <v/>
      </c>
      <c r="AI9" s="5">
        <f>AE3</f>
        <v/>
      </c>
    </row>
    <row r="10">
      <c r="A10" t="inlineStr">
        <is>
          <t>H1 naive with drift</t>
        </is>
      </c>
      <c r="K10" s="5">
        <f>G3*SUM(G3:J3)/SUM(C3:F3)</f>
        <v/>
      </c>
      <c r="L10" s="5">
        <f>H3*SUM(H3:K3)/SUM(D3:G3)</f>
        <v/>
      </c>
      <c r="M10" s="5">
        <f>I3*SUM(I3:L3)/SUM(E3:H3)</f>
        <v/>
      </c>
      <c r="N10" s="5">
        <f>J3*SUM(J3:M3)/SUM(F3:I3)</f>
        <v/>
      </c>
      <c r="O10" s="5">
        <f>K3*SUM(K3:N3)/SUM(G3:J3)</f>
        <v/>
      </c>
      <c r="P10" s="5">
        <f>L3*SUM(L3:O3)/SUM(H3:K3)</f>
        <v/>
      </c>
      <c r="Q10" s="5">
        <f>M3*SUM(M3:P3)/SUM(I3:L3)</f>
        <v/>
      </c>
      <c r="R10" s="5">
        <f>N3*SUM(N3:Q3)/SUM(J3:M3)</f>
        <v/>
      </c>
      <c r="S10" s="5">
        <f>O3*SUM(O3:R3)/SUM(K3:N3)</f>
        <v/>
      </c>
      <c r="T10" s="5">
        <f>P3*SUM(P3:S3)/SUM(L3:O3)</f>
        <v/>
      </c>
      <c r="U10" s="5">
        <f>Q3*SUM(Q3:T3)/SUM(M3:P3)</f>
        <v/>
      </c>
      <c r="V10" s="5">
        <f>R3*SUM(R3:U3)/SUM(N3:Q3)</f>
        <v/>
      </c>
      <c r="W10" s="5">
        <f>S3*SUM(S3:V3)/SUM(O3:R3)</f>
        <v/>
      </c>
      <c r="X10" s="5">
        <f>T3*SUM(T3:W3)/SUM(P3:S3)</f>
        <v/>
      </c>
      <c r="Y10" s="5">
        <f>U3*SUM(U3:X3)/SUM(Q3:T3)</f>
        <v/>
      </c>
      <c r="Z10" s="5">
        <f>V3*SUM(V3:Y3)/SUM(R3:U3)</f>
        <v/>
      </c>
      <c r="AA10" s="5">
        <f>W3*SUM(W3:Z3)/SUM(S3:V3)</f>
        <v/>
      </c>
      <c r="AB10" s="5">
        <f>X3*SUM(X3:AA3)/SUM(T3:W3)</f>
        <v/>
      </c>
      <c r="AC10" s="5">
        <f>Y3*SUM(Y3:AB3)/SUM(U3:X3)</f>
        <v/>
      </c>
      <c r="AD10" s="5">
        <f>Z3*SUM(Z3:AC3)/SUM(V3:Y3)</f>
        <v/>
      </c>
      <c r="AE10" s="5">
        <f>AA3*SUM(AA3:AD3)/SUM(W3:Z3)</f>
        <v/>
      </c>
      <c r="AF10" s="5">
        <f>AB3*SUM(AB3:AE3)/SUM(X3:AA3)</f>
        <v/>
      </c>
      <c r="AG10" s="5">
        <f>AC3*SUM(AC3:AF3)/SUM(Y3:AB3)</f>
        <v/>
      </c>
      <c r="AH10" s="5">
        <f>AD3*SUM(AD3:AG3)/SUM(Z3:AC3)</f>
        <v/>
      </c>
      <c r="AI10" s="5">
        <f>AE3*SUM(AE3:AH3)/SUM(AA3:AD3)</f>
        <v/>
      </c>
    </row>
    <row r="11">
      <c r="A11" t="inlineStr">
        <is>
          <t>H1 backlog APE %</t>
        </is>
      </c>
      <c r="K11" s="7">
        <f>ABS(K3-K8)/K3*100</f>
        <v/>
      </c>
      <c r="L11" s="7">
        <f>ABS(L3-L8)/L3*100</f>
        <v/>
      </c>
      <c r="M11" s="7">
        <f>ABS(M3-M8)/M3*100</f>
        <v/>
      </c>
      <c r="N11" s="7">
        <f>ABS(N3-N8)/N3*100</f>
        <v/>
      </c>
      <c r="O11" s="7">
        <f>ABS(O3-O8)/O3*100</f>
        <v/>
      </c>
      <c r="P11" s="7">
        <f>ABS(P3-P8)/P3*100</f>
        <v/>
      </c>
      <c r="Q11" s="7">
        <f>ABS(Q3-Q8)/Q3*100</f>
        <v/>
      </c>
      <c r="R11" s="7">
        <f>ABS(R3-R8)/R3*100</f>
        <v/>
      </c>
      <c r="S11" s="7">
        <f>ABS(S3-S8)/S3*100</f>
        <v/>
      </c>
      <c r="T11" s="7">
        <f>ABS(T3-T8)/T3*100</f>
        <v/>
      </c>
      <c r="U11" s="7">
        <f>ABS(U3-U8)/U3*100</f>
        <v/>
      </c>
      <c r="V11" s="7">
        <f>ABS(V3-V8)/V3*100</f>
        <v/>
      </c>
      <c r="W11" s="7">
        <f>ABS(W3-W8)/W3*100</f>
        <v/>
      </c>
      <c r="X11" s="7">
        <f>ABS(X3-X8)/X3*100</f>
        <v/>
      </c>
      <c r="Y11" s="7">
        <f>ABS(Y3-Y8)/Y3*100</f>
        <v/>
      </c>
      <c r="Z11" s="7">
        <f>ABS(Z3-Z8)/Z3*100</f>
        <v/>
      </c>
      <c r="AA11" s="7">
        <f>ABS(AA3-AA8)/AA3*100</f>
        <v/>
      </c>
      <c r="AB11" s="7">
        <f>ABS(AB3-AB8)/AB3*100</f>
        <v/>
      </c>
      <c r="AC11" s="7">
        <f>ABS(AC3-AC8)/AC3*100</f>
        <v/>
      </c>
      <c r="AD11" s="7">
        <f>ABS(AD3-AD8)/AD3*100</f>
        <v/>
      </c>
      <c r="AE11" s="7">
        <f>ABS(AE3-AE8)/AE3*100</f>
        <v/>
      </c>
      <c r="AF11" s="7">
        <f>ABS(AF3-AF8)/AF3*100</f>
        <v/>
      </c>
      <c r="AG11" s="7">
        <f>ABS(AG3-AG8)/AG3*100</f>
        <v/>
      </c>
      <c r="AH11" s="7">
        <f>ABS(AH3-AH8)/AH3*100</f>
        <v/>
      </c>
      <c r="AI11" s="7">
        <f>ABS(AI3-AI8)/AI3*100</f>
        <v/>
      </c>
    </row>
    <row r="12">
      <c r="A12" t="inlineStr">
        <is>
          <t>H1 seasonal naive APE %</t>
        </is>
      </c>
      <c r="K12" s="7">
        <f>ABS(K3-K9)/K3*100</f>
        <v/>
      </c>
      <c r="L12" s="7">
        <f>ABS(L3-L9)/L3*100</f>
        <v/>
      </c>
      <c r="M12" s="7">
        <f>ABS(M3-M9)/M3*100</f>
        <v/>
      </c>
      <c r="N12" s="7">
        <f>ABS(N3-N9)/N3*100</f>
        <v/>
      </c>
      <c r="O12" s="7">
        <f>ABS(O3-O9)/O3*100</f>
        <v/>
      </c>
      <c r="P12" s="7">
        <f>ABS(P3-P9)/P3*100</f>
        <v/>
      </c>
      <c r="Q12" s="7">
        <f>ABS(Q3-Q9)/Q3*100</f>
        <v/>
      </c>
      <c r="R12" s="7">
        <f>ABS(R3-R9)/R3*100</f>
        <v/>
      </c>
      <c r="S12" s="7">
        <f>ABS(S3-S9)/S3*100</f>
        <v/>
      </c>
      <c r="T12" s="7">
        <f>ABS(T3-T9)/T3*100</f>
        <v/>
      </c>
      <c r="U12" s="7">
        <f>ABS(U3-U9)/U3*100</f>
        <v/>
      </c>
      <c r="V12" s="7">
        <f>ABS(V3-V9)/V3*100</f>
        <v/>
      </c>
      <c r="W12" s="7">
        <f>ABS(W3-W9)/W3*100</f>
        <v/>
      </c>
      <c r="X12" s="7">
        <f>ABS(X3-X9)/X3*100</f>
        <v/>
      </c>
      <c r="Y12" s="7">
        <f>ABS(Y3-Y9)/Y3*100</f>
        <v/>
      </c>
      <c r="Z12" s="7">
        <f>ABS(Z3-Z9)/Z3*100</f>
        <v/>
      </c>
      <c r="AA12" s="7">
        <f>ABS(AA3-AA9)/AA3*100</f>
        <v/>
      </c>
      <c r="AB12" s="7">
        <f>ABS(AB3-AB9)/AB3*100</f>
        <v/>
      </c>
      <c r="AC12" s="7">
        <f>ABS(AC3-AC9)/AC3*100</f>
        <v/>
      </c>
      <c r="AD12" s="7">
        <f>ABS(AD3-AD9)/AD3*100</f>
        <v/>
      </c>
      <c r="AE12" s="7">
        <f>ABS(AE3-AE9)/AE3*100</f>
        <v/>
      </c>
      <c r="AF12" s="7">
        <f>ABS(AF3-AF9)/AF3*100</f>
        <v/>
      </c>
      <c r="AG12" s="7">
        <f>ABS(AG3-AG9)/AG3*100</f>
        <v/>
      </c>
      <c r="AH12" s="7">
        <f>ABS(AH3-AH9)/AH3*100</f>
        <v/>
      </c>
      <c r="AI12" s="7">
        <f>ABS(AI3-AI9)/AI3*100</f>
        <v/>
      </c>
    </row>
    <row r="13">
      <c r="A13" t="inlineStr">
        <is>
          <t>H1 naive with drift APE %</t>
        </is>
      </c>
      <c r="K13" s="7">
        <f>ABS(K3-K10)/K3*100</f>
        <v/>
      </c>
      <c r="L13" s="7">
        <f>ABS(L3-L10)/L3*100</f>
        <v/>
      </c>
      <c r="M13" s="7">
        <f>ABS(M3-M10)/M3*100</f>
        <v/>
      </c>
      <c r="N13" s="7">
        <f>ABS(N3-N10)/N3*100</f>
        <v/>
      </c>
      <c r="O13" s="7">
        <f>ABS(O3-O10)/O3*100</f>
        <v/>
      </c>
      <c r="P13" s="7">
        <f>ABS(P3-P10)/P3*100</f>
        <v/>
      </c>
      <c r="Q13" s="7">
        <f>ABS(Q3-Q10)/Q3*100</f>
        <v/>
      </c>
      <c r="R13" s="7">
        <f>ABS(R3-R10)/R3*100</f>
        <v/>
      </c>
      <c r="S13" s="7">
        <f>ABS(S3-S10)/S3*100</f>
        <v/>
      </c>
      <c r="T13" s="7">
        <f>ABS(T3-T10)/T3*100</f>
        <v/>
      </c>
      <c r="U13" s="7">
        <f>ABS(U3-U10)/U3*100</f>
        <v/>
      </c>
      <c r="V13" s="7">
        <f>ABS(V3-V10)/V3*100</f>
        <v/>
      </c>
      <c r="W13" s="7">
        <f>ABS(W3-W10)/W3*100</f>
        <v/>
      </c>
      <c r="X13" s="7">
        <f>ABS(X3-X10)/X3*100</f>
        <v/>
      </c>
      <c r="Y13" s="7">
        <f>ABS(Y3-Y10)/Y3*100</f>
        <v/>
      </c>
      <c r="Z13" s="7">
        <f>ABS(Z3-Z10)/Z3*100</f>
        <v/>
      </c>
      <c r="AA13" s="7">
        <f>ABS(AA3-AA10)/AA3*100</f>
        <v/>
      </c>
      <c r="AB13" s="7">
        <f>ABS(AB3-AB10)/AB3*100</f>
        <v/>
      </c>
      <c r="AC13" s="7">
        <f>ABS(AC3-AC10)/AC3*100</f>
        <v/>
      </c>
      <c r="AD13" s="7">
        <f>ABS(AD3-AD10)/AD3*100</f>
        <v/>
      </c>
      <c r="AE13" s="7">
        <f>ABS(AE3-AE10)/AE3*100</f>
        <v/>
      </c>
      <c r="AF13" s="7">
        <f>ABS(AF3-AF10)/AF3*100</f>
        <v/>
      </c>
      <c r="AG13" s="7">
        <f>ABS(AG3-AG10)/AG3*100</f>
        <v/>
      </c>
      <c r="AH13" s="7">
        <f>ABS(AH3-AH10)/AH3*100</f>
        <v/>
      </c>
      <c r="AI13" s="7">
        <f>ABS(AI3-AI10)/AI3*100</f>
        <v/>
      </c>
    </row>
    <row r="14">
      <c r="A14" t="inlineStr">
        <is>
          <t>H4 actual</t>
        </is>
      </c>
      <c r="J14" s="5">
        <f>SUM(K3:N3)</f>
        <v/>
      </c>
      <c r="K14" s="5">
        <f>SUM(L3:O3)</f>
        <v/>
      </c>
      <c r="L14" s="5">
        <f>SUM(M3:P3)</f>
        <v/>
      </c>
      <c r="M14" s="5">
        <f>SUM(N3:Q3)</f>
        <v/>
      </c>
      <c r="N14" s="5">
        <f>SUM(O3:R3)</f>
        <v/>
      </c>
      <c r="O14" s="5">
        <f>SUM(P3:S3)</f>
        <v/>
      </c>
      <c r="P14" s="5">
        <f>SUM(Q3:T3)</f>
        <v/>
      </c>
      <c r="Q14" s="5">
        <f>SUM(R3:U3)</f>
        <v/>
      </c>
      <c r="R14" s="5">
        <f>SUM(S3:V3)</f>
        <v/>
      </c>
      <c r="S14" s="5">
        <f>SUM(T3:W3)</f>
        <v/>
      </c>
      <c r="T14" s="5">
        <f>SUM(U3:X3)</f>
        <v/>
      </c>
      <c r="U14" s="5">
        <f>SUM(V3:Y3)</f>
        <v/>
      </c>
      <c r="V14" s="5">
        <f>SUM(W3:Z3)</f>
        <v/>
      </c>
      <c r="W14" s="5">
        <f>SUM(X3:AA3)</f>
        <v/>
      </c>
      <c r="X14" s="5">
        <f>SUM(Y3:AB3)</f>
        <v/>
      </c>
      <c r="Y14" s="5">
        <f>SUM(Z3:AC3)</f>
        <v/>
      </c>
      <c r="Z14" s="5">
        <f>SUM(AA3:AD3)</f>
        <v/>
      </c>
      <c r="AA14" s="5">
        <f>SUM(AB3:AE3)</f>
        <v/>
      </c>
      <c r="AB14" s="5">
        <f>SUM(AC3:AF3)</f>
        <v/>
      </c>
      <c r="AC14" s="5">
        <f>SUM(AD3:AG3)</f>
        <v/>
      </c>
      <c r="AD14" s="5">
        <f>SUM(AE3:AH3)</f>
        <v/>
      </c>
      <c r="AE14" s="5">
        <f>SUM(AF3:AI3)</f>
        <v/>
      </c>
    </row>
    <row r="15">
      <c r="A15" t="inlineStr">
        <is>
          <t>H4 backlog forecast</t>
        </is>
      </c>
      <c r="J15" s="5">
        <f>J2*AVERAGE(C7:F7)</f>
        <v/>
      </c>
      <c r="K15" s="5">
        <f>K2*AVERAGE(D7:G7)</f>
        <v/>
      </c>
      <c r="L15" s="5">
        <f>L2*AVERAGE(E7:H7)</f>
        <v/>
      </c>
      <c r="M15" s="5">
        <f>M2*AVERAGE(F7:I7)</f>
        <v/>
      </c>
      <c r="N15" s="5">
        <f>N2*AVERAGE(G7:J7)</f>
        <v/>
      </c>
      <c r="O15" s="5">
        <f>O2*AVERAGE(H7:K7)</f>
        <v/>
      </c>
      <c r="P15" s="5">
        <f>P2*AVERAGE(I7:L7)</f>
        <v/>
      </c>
      <c r="Q15" s="5">
        <f>Q2*AVERAGE(J7:M7)</f>
        <v/>
      </c>
      <c r="R15" s="5">
        <f>R2*AVERAGE(K7:N7)</f>
        <v/>
      </c>
      <c r="S15" s="5">
        <f>S2*AVERAGE(L7:O7)</f>
        <v/>
      </c>
      <c r="T15" s="5">
        <f>T2*AVERAGE(M7:P7)</f>
        <v/>
      </c>
      <c r="U15" s="5">
        <f>U2*AVERAGE(N7:Q7)</f>
        <v/>
      </c>
      <c r="V15" s="5">
        <f>V2*AVERAGE(O7:R7)</f>
        <v/>
      </c>
      <c r="W15" s="5">
        <f>W2*AVERAGE(P7:S7)</f>
        <v/>
      </c>
      <c r="X15" s="5">
        <f>X2*AVERAGE(Q7:T7)</f>
        <v/>
      </c>
      <c r="Y15" s="5">
        <f>Y2*AVERAGE(R7:U7)</f>
        <v/>
      </c>
      <c r="Z15" s="5">
        <f>Z2*AVERAGE(S7:V7)</f>
        <v/>
      </c>
      <c r="AA15" s="5">
        <f>AA2*AVERAGE(T7:W7)</f>
        <v/>
      </c>
      <c r="AB15" s="5">
        <f>AB2*AVERAGE(U7:X7)</f>
        <v/>
      </c>
      <c r="AC15" s="5">
        <f>AC2*AVERAGE(V7:Y7)</f>
        <v/>
      </c>
      <c r="AD15" s="5">
        <f>AD2*AVERAGE(W7:Z7)</f>
        <v/>
      </c>
      <c r="AE15" s="5">
        <f>AE2*AVERAGE(X7:AA7)</f>
        <v/>
      </c>
    </row>
    <row r="16">
      <c r="A16" t="inlineStr">
        <is>
          <t>H4 trailing 4Q</t>
        </is>
      </c>
      <c r="J16" s="5">
        <f>SUM(G3:J3)</f>
        <v/>
      </c>
      <c r="K16" s="5">
        <f>SUM(H3:K3)</f>
        <v/>
      </c>
      <c r="L16" s="5">
        <f>SUM(I3:L3)</f>
        <v/>
      </c>
      <c r="M16" s="5">
        <f>SUM(J3:M3)</f>
        <v/>
      </c>
      <c r="N16" s="5">
        <f>SUM(K3:N3)</f>
        <v/>
      </c>
      <c r="O16" s="5">
        <f>SUM(L3:O3)</f>
        <v/>
      </c>
      <c r="P16" s="5">
        <f>SUM(M3:P3)</f>
        <v/>
      </c>
      <c r="Q16" s="5">
        <f>SUM(N3:Q3)</f>
        <v/>
      </c>
      <c r="R16" s="5">
        <f>SUM(O3:R3)</f>
        <v/>
      </c>
      <c r="S16" s="5">
        <f>SUM(P3:S3)</f>
        <v/>
      </c>
      <c r="T16" s="5">
        <f>SUM(Q3:T3)</f>
        <v/>
      </c>
      <c r="U16" s="5">
        <f>SUM(R3:U3)</f>
        <v/>
      </c>
      <c r="V16" s="5">
        <f>SUM(S3:V3)</f>
        <v/>
      </c>
      <c r="W16" s="5">
        <f>SUM(T3:W3)</f>
        <v/>
      </c>
      <c r="X16" s="5">
        <f>SUM(U3:X3)</f>
        <v/>
      </c>
      <c r="Y16" s="5">
        <f>SUM(V3:Y3)</f>
        <v/>
      </c>
      <c r="Z16" s="5">
        <f>SUM(W3:Z3)</f>
        <v/>
      </c>
      <c r="AA16" s="5">
        <f>SUM(X3:AA3)</f>
        <v/>
      </c>
      <c r="AB16" s="5">
        <f>SUM(Y3:AB3)</f>
        <v/>
      </c>
      <c r="AC16" s="5">
        <f>SUM(Z3:AC3)</f>
        <v/>
      </c>
      <c r="AD16" s="5">
        <f>SUM(AA3:AD3)</f>
        <v/>
      </c>
      <c r="AE16" s="5">
        <f>SUM(AB3:AE3)</f>
        <v/>
      </c>
    </row>
    <row r="17">
      <c r="A17" t="inlineStr">
        <is>
          <t>H4 trailing 4Q with drift</t>
        </is>
      </c>
      <c r="J17" s="5">
        <f>SUM(G3:J3)^2/SUM(C3:F3)</f>
        <v/>
      </c>
      <c r="K17" s="5">
        <f>SUM(H3:K3)^2/SUM(D3:G3)</f>
        <v/>
      </c>
      <c r="L17" s="5">
        <f>SUM(I3:L3)^2/SUM(E3:H3)</f>
        <v/>
      </c>
      <c r="M17" s="5">
        <f>SUM(J3:M3)^2/SUM(F3:I3)</f>
        <v/>
      </c>
      <c r="N17" s="5">
        <f>SUM(K3:N3)^2/SUM(G3:J3)</f>
        <v/>
      </c>
      <c r="O17" s="5">
        <f>SUM(L3:O3)^2/SUM(H3:K3)</f>
        <v/>
      </c>
      <c r="P17" s="5">
        <f>SUM(M3:P3)^2/SUM(I3:L3)</f>
        <v/>
      </c>
      <c r="Q17" s="5">
        <f>SUM(N3:Q3)^2/SUM(J3:M3)</f>
        <v/>
      </c>
      <c r="R17" s="5">
        <f>SUM(O3:R3)^2/SUM(K3:N3)</f>
        <v/>
      </c>
      <c r="S17" s="5">
        <f>SUM(P3:S3)^2/SUM(L3:O3)</f>
        <v/>
      </c>
      <c r="T17" s="5">
        <f>SUM(Q3:T3)^2/SUM(M3:P3)</f>
        <v/>
      </c>
      <c r="U17" s="5">
        <f>SUM(R3:U3)^2/SUM(N3:Q3)</f>
        <v/>
      </c>
      <c r="V17" s="5">
        <f>SUM(S3:V3)^2/SUM(O3:R3)</f>
        <v/>
      </c>
      <c r="W17" s="5">
        <f>SUM(T3:W3)^2/SUM(P3:S3)</f>
        <v/>
      </c>
      <c r="X17" s="5">
        <f>SUM(U3:X3)^2/SUM(Q3:T3)</f>
        <v/>
      </c>
      <c r="Y17" s="5">
        <f>SUM(V3:Y3)^2/SUM(R3:U3)</f>
        <v/>
      </c>
      <c r="Z17" s="5">
        <f>SUM(W3:Z3)^2/SUM(S3:V3)</f>
        <v/>
      </c>
      <c r="AA17" s="5">
        <f>SUM(X3:AA3)^2/SUM(T3:W3)</f>
        <v/>
      </c>
      <c r="AB17" s="5">
        <f>SUM(Y3:AB3)^2/SUM(U3:X3)</f>
        <v/>
      </c>
      <c r="AC17" s="5">
        <f>SUM(Z3:AC3)^2/SUM(V3:Y3)</f>
        <v/>
      </c>
      <c r="AD17" s="5">
        <f>SUM(AA3:AD3)^2/SUM(W3:Z3)</f>
        <v/>
      </c>
      <c r="AE17" s="5">
        <f>SUM(AB3:AE3)^2/SUM(X3:AA3)</f>
        <v/>
      </c>
    </row>
    <row r="18">
      <c r="A18" t="inlineStr">
        <is>
          <t>H4 backlog APE %</t>
        </is>
      </c>
      <c r="J18" s="7">
        <f>ABS(J14-J15)/J14*100</f>
        <v/>
      </c>
      <c r="K18" s="7">
        <f>ABS(K14-K15)/K14*100</f>
        <v/>
      </c>
      <c r="L18" s="7">
        <f>ABS(L14-L15)/L14*100</f>
        <v/>
      </c>
      <c r="M18" s="7">
        <f>ABS(M14-M15)/M14*100</f>
        <v/>
      </c>
      <c r="N18" s="7">
        <f>ABS(N14-N15)/N14*100</f>
        <v/>
      </c>
      <c r="O18" s="7">
        <f>ABS(O14-O15)/O14*100</f>
        <v/>
      </c>
      <c r="P18" s="7">
        <f>ABS(P14-P15)/P14*100</f>
        <v/>
      </c>
      <c r="Q18" s="7">
        <f>ABS(Q14-Q15)/Q14*100</f>
        <v/>
      </c>
      <c r="R18" s="7">
        <f>ABS(R14-R15)/R14*100</f>
        <v/>
      </c>
      <c r="S18" s="7">
        <f>ABS(S14-S15)/S14*100</f>
        <v/>
      </c>
      <c r="T18" s="7">
        <f>ABS(T14-T15)/T14*100</f>
        <v/>
      </c>
      <c r="U18" s="7">
        <f>ABS(U14-U15)/U14*100</f>
        <v/>
      </c>
      <c r="V18" s="7">
        <f>ABS(V14-V15)/V14*100</f>
        <v/>
      </c>
      <c r="W18" s="7">
        <f>ABS(W14-W15)/W14*100</f>
        <v/>
      </c>
      <c r="X18" s="7">
        <f>ABS(X14-X15)/X14*100</f>
        <v/>
      </c>
      <c r="Y18" s="7">
        <f>ABS(Y14-Y15)/Y14*100</f>
        <v/>
      </c>
      <c r="Z18" s="7">
        <f>ABS(Z14-Z15)/Z14*100</f>
        <v/>
      </c>
      <c r="AA18" s="7">
        <f>ABS(AA14-AA15)/AA14*100</f>
        <v/>
      </c>
      <c r="AB18" s="7">
        <f>ABS(AB14-AB15)/AB14*100</f>
        <v/>
      </c>
      <c r="AC18" s="7">
        <f>ABS(AC14-AC15)/AC14*100</f>
        <v/>
      </c>
      <c r="AD18" s="7">
        <f>ABS(AD14-AD15)/AD14*100</f>
        <v/>
      </c>
      <c r="AE18" s="7">
        <f>ABS(AE14-AE15)/AE14*100</f>
        <v/>
      </c>
    </row>
    <row r="19">
      <c r="A19" t="inlineStr">
        <is>
          <t>H4 trailing 4Q APE %</t>
        </is>
      </c>
      <c r="J19" s="7">
        <f>ABS(J14-J16)/J14*100</f>
        <v/>
      </c>
      <c r="K19" s="7">
        <f>ABS(K14-K16)/K14*100</f>
        <v/>
      </c>
      <c r="L19" s="7">
        <f>ABS(L14-L16)/L14*100</f>
        <v/>
      </c>
      <c r="M19" s="7">
        <f>ABS(M14-M16)/M14*100</f>
        <v/>
      </c>
      <c r="N19" s="7">
        <f>ABS(N14-N16)/N14*100</f>
        <v/>
      </c>
      <c r="O19" s="7">
        <f>ABS(O14-O16)/O14*100</f>
        <v/>
      </c>
      <c r="P19" s="7">
        <f>ABS(P14-P16)/P14*100</f>
        <v/>
      </c>
      <c r="Q19" s="7">
        <f>ABS(Q14-Q16)/Q14*100</f>
        <v/>
      </c>
      <c r="R19" s="7">
        <f>ABS(R14-R16)/R14*100</f>
        <v/>
      </c>
      <c r="S19" s="7">
        <f>ABS(S14-S16)/S14*100</f>
        <v/>
      </c>
      <c r="T19" s="7">
        <f>ABS(T14-T16)/T14*100</f>
        <v/>
      </c>
      <c r="U19" s="7">
        <f>ABS(U14-U16)/U14*100</f>
        <v/>
      </c>
      <c r="V19" s="7">
        <f>ABS(V14-V16)/V14*100</f>
        <v/>
      </c>
      <c r="W19" s="7">
        <f>ABS(W14-W16)/W14*100</f>
        <v/>
      </c>
      <c r="X19" s="7">
        <f>ABS(X14-X16)/X14*100</f>
        <v/>
      </c>
      <c r="Y19" s="7">
        <f>ABS(Y14-Y16)/Y14*100</f>
        <v/>
      </c>
      <c r="Z19" s="7">
        <f>ABS(Z14-Z16)/Z14*100</f>
        <v/>
      </c>
      <c r="AA19" s="7">
        <f>ABS(AA14-AA16)/AA14*100</f>
        <v/>
      </c>
      <c r="AB19" s="7">
        <f>ABS(AB14-AB16)/AB14*100</f>
        <v/>
      </c>
      <c r="AC19" s="7">
        <f>ABS(AC14-AC16)/AC14*100</f>
        <v/>
      </c>
      <c r="AD19" s="7">
        <f>ABS(AD14-AD16)/AD14*100</f>
        <v/>
      </c>
      <c r="AE19" s="7">
        <f>ABS(AE14-AE16)/AE14*100</f>
        <v/>
      </c>
    </row>
    <row r="20">
      <c r="A20" t="inlineStr">
        <is>
          <t>H4 trailing 4Q with drift APE %</t>
        </is>
      </c>
      <c r="J20" s="7">
        <f>ABS(J14-J17)/J14*100</f>
        <v/>
      </c>
      <c r="K20" s="7">
        <f>ABS(K14-K17)/K14*100</f>
        <v/>
      </c>
      <c r="L20" s="7">
        <f>ABS(L14-L17)/L14*100</f>
        <v/>
      </c>
      <c r="M20" s="7">
        <f>ABS(M14-M17)/M14*100</f>
        <v/>
      </c>
      <c r="N20" s="7">
        <f>ABS(N14-N17)/N14*100</f>
        <v/>
      </c>
      <c r="O20" s="7">
        <f>ABS(O14-O17)/O14*100</f>
        <v/>
      </c>
      <c r="P20" s="7">
        <f>ABS(P14-P17)/P14*100</f>
        <v/>
      </c>
      <c r="Q20" s="7">
        <f>ABS(Q14-Q17)/Q14*100</f>
        <v/>
      </c>
      <c r="R20" s="7">
        <f>ABS(R14-R17)/R14*100</f>
        <v/>
      </c>
      <c r="S20" s="7">
        <f>ABS(S14-S17)/S14*100</f>
        <v/>
      </c>
      <c r="T20" s="7">
        <f>ABS(T14-T17)/T14*100</f>
        <v/>
      </c>
      <c r="U20" s="7">
        <f>ABS(U14-U17)/U14*100</f>
        <v/>
      </c>
      <c r="V20" s="7">
        <f>ABS(V14-V17)/V14*100</f>
        <v/>
      </c>
      <c r="W20" s="7">
        <f>ABS(W14-W17)/W14*100</f>
        <v/>
      </c>
      <c r="X20" s="7">
        <f>ABS(X14-X17)/X14*100</f>
        <v/>
      </c>
      <c r="Y20" s="7">
        <f>ABS(Y14-Y17)/Y14*100</f>
        <v/>
      </c>
      <c r="Z20" s="7">
        <f>ABS(Z14-Z17)/Z14*100</f>
        <v/>
      </c>
      <c r="AA20" s="7">
        <f>ABS(AA14-AA17)/AA14*100</f>
        <v/>
      </c>
      <c r="AB20" s="7">
        <f>ABS(AB14-AB17)/AB14*100</f>
        <v/>
      </c>
      <c r="AC20" s="7">
        <f>ABS(AC14-AC17)/AC14*100</f>
        <v/>
      </c>
      <c r="AD20" s="7">
        <f>ABS(AD14-AD17)/AD14*100</f>
        <v/>
      </c>
      <c r="AE20" s="7">
        <f>ABS(AE14-AE17)/AE14*100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Quarter</t>
        </is>
      </c>
      <c r="B1" s="4" t="inlineStr">
        <is>
          <t>2020Q1</t>
        </is>
      </c>
      <c r="C1" s="4" t="inlineStr">
        <is>
          <t>2020Q2</t>
        </is>
      </c>
      <c r="D1" s="4" t="inlineStr">
        <is>
          <t>2020Q3</t>
        </is>
      </c>
      <c r="E1" s="4" t="inlineStr">
        <is>
          <t>2020Q4</t>
        </is>
      </c>
      <c r="F1" s="4" t="inlineStr">
        <is>
          <t>2021Q1</t>
        </is>
      </c>
      <c r="G1" s="4" t="inlineStr">
        <is>
          <t>2021Q2</t>
        </is>
      </c>
      <c r="H1" s="4" t="inlineStr">
        <is>
          <t>2021Q3</t>
        </is>
      </c>
      <c r="I1" s="4" t="inlineStr">
        <is>
          <t>2021Q4</t>
        </is>
      </c>
      <c r="J1" s="4" t="inlineStr">
        <is>
          <t>2022Q1</t>
        </is>
      </c>
      <c r="K1" s="4" t="inlineStr">
        <is>
          <t>2022Q2</t>
        </is>
      </c>
      <c r="L1" s="4" t="inlineStr">
        <is>
          <t>2022Q3</t>
        </is>
      </c>
      <c r="M1" s="4" t="inlineStr">
        <is>
          <t>2022Q4</t>
        </is>
      </c>
      <c r="N1" s="4" t="inlineStr">
        <is>
          <t>2023Q1</t>
        </is>
      </c>
      <c r="O1" s="4" t="inlineStr">
        <is>
          <t>2023Q2</t>
        </is>
      </c>
      <c r="P1" s="4" t="inlineStr">
        <is>
          <t>2023Q3</t>
        </is>
      </c>
      <c r="Q1" s="4" t="inlineStr">
        <is>
          <t>2023Q4</t>
        </is>
      </c>
      <c r="R1" s="4" t="inlineStr">
        <is>
          <t>2024Q1</t>
        </is>
      </c>
      <c r="S1" s="4" t="inlineStr">
        <is>
          <t>2024Q2</t>
        </is>
      </c>
      <c r="T1" s="4" t="inlineStr">
        <is>
          <t>2024Q3</t>
        </is>
      </c>
      <c r="U1" s="4" t="inlineStr">
        <is>
          <t>2024Q4</t>
        </is>
      </c>
      <c r="V1" s="4" t="inlineStr">
        <is>
          <t>2025Q1</t>
        </is>
      </c>
      <c r="W1" s="4" t="inlineStr">
        <is>
          <t>2025Q2</t>
        </is>
      </c>
      <c r="X1" s="4" t="inlineStr">
        <is>
          <t>2025Q3</t>
        </is>
      </c>
      <c r="Y1" s="4" t="inlineStr">
        <is>
          <t>2025Q4</t>
        </is>
      </c>
      <c r="Z1" s="4" t="inlineStr">
        <is>
          <t>2026Q1</t>
        </is>
      </c>
      <c r="AA1" s="4" t="inlineStr">
        <is>
          <t>2026Q2</t>
        </is>
      </c>
    </row>
    <row r="2">
      <c r="A2" t="inlineStr">
        <is>
          <t>Backlog (RPO)</t>
        </is>
      </c>
      <c r="E2" s="3" t="n">
        <v>21700</v>
      </c>
      <c r="I2" s="3" t="n">
        <v>21100</v>
      </c>
      <c r="J2" s="3" t="n">
        <v>21100</v>
      </c>
      <c r="K2" s="3" t="n">
        <v>19900</v>
      </c>
      <c r="L2" s="3" t="n">
        <v>21400</v>
      </c>
      <c r="M2" s="3" t="n">
        <v>22300</v>
      </c>
      <c r="N2" s="3" t="n">
        <v>24500</v>
      </c>
      <c r="O2" s="3" t="n">
        <v>24900</v>
      </c>
      <c r="P2" s="3" t="n">
        <v>31800</v>
      </c>
      <c r="Q2" s="3" t="n">
        <v>32700</v>
      </c>
      <c r="R2" s="3" t="n">
        <v>32100</v>
      </c>
      <c r="S2" s="3" t="n">
        <v>31700</v>
      </c>
      <c r="T2" s="3" t="n">
        <v>33800</v>
      </c>
      <c r="U2" s="3" t="n">
        <v>34200</v>
      </c>
      <c r="V2" s="3" t="n">
        <v>33200</v>
      </c>
      <c r="W2" s="3" t="n">
        <v>35400</v>
      </c>
      <c r="X2" s="3" t="n">
        <v>36300</v>
      </c>
      <c r="Y2" s="3" t="n">
        <v>38700</v>
      </c>
      <c r="Z2" s="3" t="n">
        <v>40700</v>
      </c>
      <c r="AA2" s="3" t="n">
        <v>42000</v>
      </c>
    </row>
    <row r="3">
      <c r="A3" t="inlineStr">
        <is>
          <t>Revenue</t>
        </is>
      </c>
      <c r="B3" s="3" t="n">
        <v>4626</v>
      </c>
      <c r="C3" s="3" t="n">
        <v>4445</v>
      </c>
      <c r="D3" s="3" t="n">
        <v>4463</v>
      </c>
      <c r="E3" s="3" t="n">
        <v>4660</v>
      </c>
      <c r="F3" s="3" t="n">
        <v>4567</v>
      </c>
      <c r="G3" s="3" t="n">
        <v>4668</v>
      </c>
      <c r="H3" s="3" t="n">
        <v>4229</v>
      </c>
      <c r="I3" s="3" t="n">
        <v>4350</v>
      </c>
      <c r="J3" s="3" t="n">
        <v>4103</v>
      </c>
      <c r="K3" s="3" t="n">
        <v>4135</v>
      </c>
      <c r="L3" s="3" t="n">
        <v>4246</v>
      </c>
      <c r="M3" s="3" t="n">
        <v>4578</v>
      </c>
      <c r="N3" s="3" t="n">
        <v>4471</v>
      </c>
      <c r="O3" s="3" t="n">
        <v>4693</v>
      </c>
      <c r="P3" s="3" t="n">
        <v>4915</v>
      </c>
      <c r="Q3" s="3" t="n">
        <v>5340</v>
      </c>
      <c r="R3" s="3" t="n">
        <v>5211</v>
      </c>
      <c r="S3" s="3" t="n">
        <v>5299</v>
      </c>
      <c r="T3" s="3" t="n">
        <v>5292</v>
      </c>
      <c r="U3" s="3" t="n">
        <v>5523</v>
      </c>
      <c r="V3" s="3" t="n">
        <v>5132</v>
      </c>
      <c r="W3" s="3" t="n">
        <v>5426</v>
      </c>
      <c r="X3" s="3" t="n">
        <v>5659</v>
      </c>
      <c r="Y3" s="3" t="n">
        <v>5648</v>
      </c>
      <c r="Z3" s="3" t="n">
        <v>5744</v>
      </c>
      <c r="AA3" s="3" t="n">
        <v>5881</v>
      </c>
    </row>
    <row r="4">
      <c r="A4" t="inlineStr">
        <is>
          <t>Implied bookings</t>
        </is>
      </c>
      <c r="J4" s="5">
        <f>J2-I2+J3</f>
        <v/>
      </c>
      <c r="K4" s="5">
        <f>K2-J2+K3</f>
        <v/>
      </c>
      <c r="L4" s="5">
        <f>L2-K2+L3</f>
        <v/>
      </c>
      <c r="M4" s="5">
        <f>M2-L2+M3</f>
        <v/>
      </c>
      <c r="N4" s="5">
        <f>N2-M2+N3</f>
        <v/>
      </c>
      <c r="O4" s="5">
        <f>O2-N2+O3</f>
        <v/>
      </c>
      <c r="P4" s="5">
        <f>P2-O2+P3</f>
        <v/>
      </c>
      <c r="Q4" s="5">
        <f>Q2-P2+Q3</f>
        <v/>
      </c>
      <c r="R4" s="5">
        <f>R2-Q2+R3</f>
        <v/>
      </c>
      <c r="S4" s="5">
        <f>S2-R2+S3</f>
        <v/>
      </c>
      <c r="T4" s="5">
        <f>T2-S2+T3</f>
        <v/>
      </c>
      <c r="U4" s="5">
        <f>U2-T2+U3</f>
        <v/>
      </c>
      <c r="V4" s="5">
        <f>V2-U2+V3</f>
        <v/>
      </c>
      <c r="W4" s="5">
        <f>W2-V2+W3</f>
        <v/>
      </c>
      <c r="X4" s="5">
        <f>X2-W2+X3</f>
        <v/>
      </c>
      <c r="Y4" s="5">
        <f>Y2-X2+Y3</f>
        <v/>
      </c>
      <c r="Z4" s="5">
        <f>Z2-Y2+Z3</f>
        <v/>
      </c>
      <c r="AA4" s="5">
        <f>AA2-Z2+AA3</f>
        <v/>
      </c>
    </row>
    <row r="5">
      <c r="A5" t="inlineStr">
        <is>
          <t>Book-to-bill</t>
        </is>
      </c>
      <c r="J5" s="6">
        <f>J4/J3</f>
        <v/>
      </c>
      <c r="K5" s="6">
        <f>K4/K3</f>
        <v/>
      </c>
      <c r="L5" s="6">
        <f>L4/L3</f>
        <v/>
      </c>
      <c r="M5" s="6">
        <f>M4/M3</f>
        <v/>
      </c>
      <c r="N5" s="6">
        <f>N4/N3</f>
        <v/>
      </c>
      <c r="O5" s="6">
        <f>O4/O3</f>
        <v/>
      </c>
      <c r="P5" s="6">
        <f>P4/P3</f>
        <v/>
      </c>
      <c r="Q5" s="6">
        <f>Q4/Q3</f>
        <v/>
      </c>
      <c r="R5" s="6">
        <f>R4/R3</f>
        <v/>
      </c>
      <c r="S5" s="6">
        <f>S4/S3</f>
        <v/>
      </c>
      <c r="T5" s="6">
        <f>T4/T3</f>
        <v/>
      </c>
      <c r="U5" s="6">
        <f>U4/U3</f>
        <v/>
      </c>
      <c r="V5" s="6">
        <f>V4/V3</f>
        <v/>
      </c>
      <c r="W5" s="6">
        <f>W4/W3</f>
        <v/>
      </c>
      <c r="X5" s="6">
        <f>X4/X3</f>
        <v/>
      </c>
      <c r="Y5" s="6">
        <f>Y4/Y3</f>
        <v/>
      </c>
      <c r="Z5" s="6">
        <f>Z4/Z3</f>
        <v/>
      </c>
      <c r="AA5" s="6">
        <f>AA4/AA3</f>
        <v/>
      </c>
    </row>
    <row r="6">
      <c r="A6" t="inlineStr">
        <is>
          <t>Conversion 1Q</t>
        </is>
      </c>
      <c r="E6" s="6">
        <f>F3/E2</f>
        <v/>
      </c>
      <c r="I6" s="6">
        <f>J3/I2</f>
        <v/>
      </c>
      <c r="J6" s="6">
        <f>K3/J2</f>
        <v/>
      </c>
      <c r="K6" s="6">
        <f>L3/K2</f>
        <v/>
      </c>
      <c r="L6" s="6">
        <f>M3/L2</f>
        <v/>
      </c>
      <c r="M6" s="6">
        <f>N3/M2</f>
        <v/>
      </c>
      <c r="N6" s="6">
        <f>O3/N2</f>
        <v/>
      </c>
      <c r="O6" s="6">
        <f>P3/O2</f>
        <v/>
      </c>
      <c r="P6" s="6">
        <f>Q3/P2</f>
        <v/>
      </c>
      <c r="Q6" s="6">
        <f>R3/Q2</f>
        <v/>
      </c>
      <c r="R6" s="6">
        <f>S3/R2</f>
        <v/>
      </c>
      <c r="S6" s="6">
        <f>T3/S2</f>
        <v/>
      </c>
      <c r="T6" s="6">
        <f>U3/T2</f>
        <v/>
      </c>
      <c r="U6" s="6">
        <f>V3/U2</f>
        <v/>
      </c>
      <c r="V6" s="6">
        <f>W3/V2</f>
        <v/>
      </c>
      <c r="W6" s="6">
        <f>X3/W2</f>
        <v/>
      </c>
      <c r="X6" s="6">
        <f>Y3/X2</f>
        <v/>
      </c>
      <c r="Y6" s="6">
        <f>Z3/Y2</f>
        <v/>
      </c>
      <c r="Z6" s="6">
        <f>AA3/Z2</f>
        <v/>
      </c>
    </row>
    <row r="7">
      <c r="A7" t="inlineStr">
        <is>
          <t>Conversion 4Q</t>
        </is>
      </c>
      <c r="E7" s="6">
        <f>SUM(F3:I3)/E2</f>
        <v/>
      </c>
      <c r="I7" s="6">
        <f>SUM(J3:M3)/I2</f>
        <v/>
      </c>
      <c r="J7" s="6">
        <f>SUM(K3:N3)/J2</f>
        <v/>
      </c>
      <c r="K7" s="6">
        <f>SUM(L3:O3)/K2</f>
        <v/>
      </c>
      <c r="L7" s="6">
        <f>SUM(M3:P3)/L2</f>
        <v/>
      </c>
      <c r="M7" s="6">
        <f>SUM(N3:Q3)/M2</f>
        <v/>
      </c>
      <c r="N7" s="6">
        <f>SUM(O3:R3)/N2</f>
        <v/>
      </c>
      <c r="O7" s="6">
        <f>SUM(P3:S3)/O2</f>
        <v/>
      </c>
      <c r="P7" s="6">
        <f>SUM(Q3:T3)/P2</f>
        <v/>
      </c>
      <c r="Q7" s="6">
        <f>SUM(R3:U3)/Q2</f>
        <v/>
      </c>
      <c r="R7" s="6">
        <f>SUM(S3:V3)/R2</f>
        <v/>
      </c>
      <c r="S7" s="6">
        <f>SUM(T3:W3)/S2</f>
        <v/>
      </c>
      <c r="T7" s="6">
        <f>SUM(U3:X3)/T2</f>
        <v/>
      </c>
      <c r="U7" s="6">
        <f>SUM(V3:Y3)/U2</f>
        <v/>
      </c>
      <c r="V7" s="6">
        <f>SUM(W3:Z3)/V2</f>
        <v/>
      </c>
      <c r="W7" s="6">
        <f>SUM(X3:AA3)/W2</f>
        <v/>
      </c>
    </row>
    <row r="8">
      <c r="A8" t="inlineStr">
        <is>
          <t>H1 backlog forecast</t>
        </is>
      </c>
      <c r="N8" s="5">
        <f>M2*AVERAGE(I6,E6)</f>
        <v/>
      </c>
      <c r="R8" s="5">
        <f>Q2*AVERAGE(M6,I6)</f>
        <v/>
      </c>
      <c r="S8" s="5">
        <f>R2*AVERAGE(N6,J6)</f>
        <v/>
      </c>
      <c r="T8" s="5">
        <f>S2*AVERAGE(O6,K6)</f>
        <v/>
      </c>
      <c r="U8" s="5">
        <f>T2*AVERAGE(P6,L6)</f>
        <v/>
      </c>
      <c r="V8" s="5">
        <f>U2*AVERAGE(Q6,M6)</f>
        <v/>
      </c>
      <c r="W8" s="5">
        <f>V2*AVERAGE(R6,N6)</f>
        <v/>
      </c>
      <c r="X8" s="5">
        <f>W2*AVERAGE(S6,O6)</f>
        <v/>
      </c>
      <c r="Y8" s="5">
        <f>X2*AVERAGE(T6,P6)</f>
        <v/>
      </c>
      <c r="Z8" s="5">
        <f>Y2*AVERAGE(U6,Q6)</f>
        <v/>
      </c>
      <c r="AA8" s="5">
        <f>Z2*AVERAGE(V6,R6)</f>
        <v/>
      </c>
    </row>
    <row r="9">
      <c r="A9" t="inlineStr">
        <is>
          <t>H1 seasonal naive</t>
        </is>
      </c>
      <c r="K9" s="5">
        <f>G3</f>
        <v/>
      </c>
      <c r="L9" s="5">
        <f>H3</f>
        <v/>
      </c>
      <c r="M9" s="5">
        <f>I3</f>
        <v/>
      </c>
      <c r="N9" s="5">
        <f>J3</f>
        <v/>
      </c>
      <c r="O9" s="5">
        <f>K3</f>
        <v/>
      </c>
      <c r="P9" s="5">
        <f>L3</f>
        <v/>
      </c>
      <c r="Q9" s="5">
        <f>M3</f>
        <v/>
      </c>
      <c r="R9" s="5">
        <f>N3</f>
        <v/>
      </c>
      <c r="S9" s="5">
        <f>O3</f>
        <v/>
      </c>
      <c r="T9" s="5">
        <f>P3</f>
        <v/>
      </c>
      <c r="U9" s="5">
        <f>Q3</f>
        <v/>
      </c>
      <c r="V9" s="5">
        <f>R3</f>
        <v/>
      </c>
      <c r="W9" s="5">
        <f>S3</f>
        <v/>
      </c>
      <c r="X9" s="5">
        <f>T3</f>
        <v/>
      </c>
      <c r="Y9" s="5">
        <f>U3</f>
        <v/>
      </c>
      <c r="Z9" s="5">
        <f>V3</f>
        <v/>
      </c>
      <c r="AA9" s="5">
        <f>W3</f>
        <v/>
      </c>
    </row>
    <row r="10">
      <c r="A10" t="inlineStr">
        <is>
          <t>H1 naive with drift</t>
        </is>
      </c>
      <c r="K10" s="5">
        <f>G3*SUM(G3:J3)/SUM(C3:F3)</f>
        <v/>
      </c>
      <c r="L10" s="5">
        <f>H3*SUM(H3:K3)/SUM(D3:G3)</f>
        <v/>
      </c>
      <c r="M10" s="5">
        <f>I3*SUM(I3:L3)/SUM(E3:H3)</f>
        <v/>
      </c>
      <c r="N10" s="5">
        <f>J3*SUM(J3:M3)/SUM(F3:I3)</f>
        <v/>
      </c>
      <c r="O10" s="5">
        <f>K3*SUM(K3:N3)/SUM(G3:J3)</f>
        <v/>
      </c>
      <c r="P10" s="5">
        <f>L3*SUM(L3:O3)/SUM(H3:K3)</f>
        <v/>
      </c>
      <c r="Q10" s="5">
        <f>M3*SUM(M3:P3)/SUM(I3:L3)</f>
        <v/>
      </c>
      <c r="R10" s="5">
        <f>N3*SUM(N3:Q3)/SUM(J3:M3)</f>
        <v/>
      </c>
      <c r="S10" s="5">
        <f>O3*SUM(O3:R3)/SUM(K3:N3)</f>
        <v/>
      </c>
      <c r="T10" s="5">
        <f>P3*SUM(P3:S3)/SUM(L3:O3)</f>
        <v/>
      </c>
      <c r="U10" s="5">
        <f>Q3*SUM(Q3:T3)/SUM(M3:P3)</f>
        <v/>
      </c>
      <c r="V10" s="5">
        <f>R3*SUM(R3:U3)/SUM(N3:Q3)</f>
        <v/>
      </c>
      <c r="W10" s="5">
        <f>S3*SUM(S3:V3)/SUM(O3:R3)</f>
        <v/>
      </c>
      <c r="X10" s="5">
        <f>T3*SUM(T3:W3)/SUM(P3:S3)</f>
        <v/>
      </c>
      <c r="Y10" s="5">
        <f>U3*SUM(U3:X3)/SUM(Q3:T3)</f>
        <v/>
      </c>
      <c r="Z10" s="5">
        <f>V3*SUM(V3:Y3)/SUM(R3:U3)</f>
        <v/>
      </c>
      <c r="AA10" s="5">
        <f>W3*SUM(W3:Z3)/SUM(S3:V3)</f>
        <v/>
      </c>
    </row>
    <row r="11">
      <c r="A11" t="inlineStr">
        <is>
          <t>H1 backlog APE %</t>
        </is>
      </c>
      <c r="N11" s="7">
        <f>ABS(N3-N8)/N3*100</f>
        <v/>
      </c>
      <c r="R11" s="7">
        <f>ABS(R3-R8)/R3*100</f>
        <v/>
      </c>
      <c r="S11" s="7">
        <f>ABS(S3-S8)/S3*100</f>
        <v/>
      </c>
      <c r="T11" s="7">
        <f>ABS(T3-T8)/T3*100</f>
        <v/>
      </c>
      <c r="U11" s="7">
        <f>ABS(U3-U8)/U3*100</f>
        <v/>
      </c>
      <c r="V11" s="7">
        <f>ABS(V3-V8)/V3*100</f>
        <v/>
      </c>
      <c r="W11" s="7">
        <f>ABS(W3-W8)/W3*100</f>
        <v/>
      </c>
      <c r="X11" s="7">
        <f>ABS(X3-X8)/X3*100</f>
        <v/>
      </c>
      <c r="Y11" s="7">
        <f>ABS(Y3-Y8)/Y3*100</f>
        <v/>
      </c>
      <c r="Z11" s="7">
        <f>ABS(Z3-Z8)/Z3*100</f>
        <v/>
      </c>
      <c r="AA11" s="7">
        <f>ABS(AA3-AA8)/AA3*100</f>
        <v/>
      </c>
    </row>
    <row r="12">
      <c r="A12" t="inlineStr">
        <is>
          <t>H1 seasonal naive APE %</t>
        </is>
      </c>
      <c r="K12" s="7">
        <f>ABS(K3-K9)/K3*100</f>
        <v/>
      </c>
      <c r="L12" s="7">
        <f>ABS(L3-L9)/L3*100</f>
        <v/>
      </c>
      <c r="M12" s="7">
        <f>ABS(M3-M9)/M3*100</f>
        <v/>
      </c>
      <c r="N12" s="7">
        <f>ABS(N3-N9)/N3*100</f>
        <v/>
      </c>
      <c r="O12" s="7">
        <f>ABS(O3-O9)/O3*100</f>
        <v/>
      </c>
      <c r="P12" s="7">
        <f>ABS(P3-P9)/P3*100</f>
        <v/>
      </c>
      <c r="Q12" s="7">
        <f>ABS(Q3-Q9)/Q3*100</f>
        <v/>
      </c>
      <c r="R12" s="7">
        <f>ABS(R3-R9)/R3*100</f>
        <v/>
      </c>
      <c r="S12" s="7">
        <f>ABS(S3-S9)/S3*100</f>
        <v/>
      </c>
      <c r="T12" s="7">
        <f>ABS(T3-T9)/T3*100</f>
        <v/>
      </c>
      <c r="U12" s="7">
        <f>ABS(U3-U9)/U3*100</f>
        <v/>
      </c>
      <c r="V12" s="7">
        <f>ABS(V3-V9)/V3*100</f>
        <v/>
      </c>
      <c r="W12" s="7">
        <f>ABS(W3-W9)/W3*100</f>
        <v/>
      </c>
      <c r="X12" s="7">
        <f>ABS(X3-X9)/X3*100</f>
        <v/>
      </c>
      <c r="Y12" s="7">
        <f>ABS(Y3-Y9)/Y3*100</f>
        <v/>
      </c>
      <c r="Z12" s="7">
        <f>ABS(Z3-Z9)/Z3*100</f>
        <v/>
      </c>
      <c r="AA12" s="7">
        <f>ABS(AA3-AA9)/AA3*100</f>
        <v/>
      </c>
    </row>
    <row r="13">
      <c r="A13" t="inlineStr">
        <is>
          <t>H1 naive with drift APE %</t>
        </is>
      </c>
      <c r="K13" s="7">
        <f>ABS(K3-K10)/K3*100</f>
        <v/>
      </c>
      <c r="L13" s="7">
        <f>ABS(L3-L10)/L3*100</f>
        <v/>
      </c>
      <c r="M13" s="7">
        <f>ABS(M3-M10)/M3*100</f>
        <v/>
      </c>
      <c r="N13" s="7">
        <f>ABS(N3-N10)/N3*100</f>
        <v/>
      </c>
      <c r="O13" s="7">
        <f>ABS(O3-O10)/O3*100</f>
        <v/>
      </c>
      <c r="P13" s="7">
        <f>ABS(P3-P10)/P3*100</f>
        <v/>
      </c>
      <c r="Q13" s="7">
        <f>ABS(Q3-Q10)/Q3*100</f>
        <v/>
      </c>
      <c r="R13" s="7">
        <f>ABS(R3-R10)/R3*100</f>
        <v/>
      </c>
      <c r="S13" s="7">
        <f>ABS(S3-S10)/S3*100</f>
        <v/>
      </c>
      <c r="T13" s="7">
        <f>ABS(T3-T10)/T3*100</f>
        <v/>
      </c>
      <c r="U13" s="7">
        <f>ABS(U3-U10)/U3*100</f>
        <v/>
      </c>
      <c r="V13" s="7">
        <f>ABS(V3-V10)/V3*100</f>
        <v/>
      </c>
      <c r="W13" s="7">
        <f>ABS(W3-W10)/W3*100</f>
        <v/>
      </c>
      <c r="X13" s="7">
        <f>ABS(X3-X10)/X3*100</f>
        <v/>
      </c>
      <c r="Y13" s="7">
        <f>ABS(Y3-Y10)/Y3*100</f>
        <v/>
      </c>
      <c r="Z13" s="7">
        <f>ABS(Z3-Z10)/Z3*100</f>
        <v/>
      </c>
      <c r="AA13" s="7">
        <f>ABS(AA3-AA10)/AA3*100</f>
        <v/>
      </c>
    </row>
    <row r="14">
      <c r="A14" t="inlineStr">
        <is>
          <t>H4 actual</t>
        </is>
      </c>
      <c r="J14" s="5">
        <f>SUM(K3:N3)</f>
        <v/>
      </c>
      <c r="K14" s="5">
        <f>SUM(L3:O3)</f>
        <v/>
      </c>
      <c r="L14" s="5">
        <f>SUM(M3:P3)</f>
        <v/>
      </c>
      <c r="M14" s="5">
        <f>SUM(N3:Q3)</f>
        <v/>
      </c>
      <c r="N14" s="5">
        <f>SUM(O3:R3)</f>
        <v/>
      </c>
      <c r="O14" s="5">
        <f>SUM(P3:S3)</f>
        <v/>
      </c>
      <c r="P14" s="5">
        <f>SUM(Q3:T3)</f>
        <v/>
      </c>
      <c r="Q14" s="5">
        <f>SUM(R3:U3)</f>
        <v/>
      </c>
      <c r="R14" s="5">
        <f>SUM(S3:V3)</f>
        <v/>
      </c>
      <c r="S14" s="5">
        <f>SUM(T3:W3)</f>
        <v/>
      </c>
      <c r="T14" s="5">
        <f>SUM(U3:X3)</f>
        <v/>
      </c>
      <c r="U14" s="5">
        <f>SUM(V3:Y3)</f>
        <v/>
      </c>
      <c r="V14" s="5">
        <f>SUM(W3:Z3)</f>
        <v/>
      </c>
      <c r="W14" s="5">
        <f>SUM(X3:AA3)</f>
        <v/>
      </c>
    </row>
    <row r="15">
      <c r="A15" t="inlineStr">
        <is>
          <t>H4 backlog forecast</t>
        </is>
      </c>
      <c r="P15" s="5">
        <f>P2*AVERAGE(I7:L7)</f>
        <v/>
      </c>
      <c r="Q15" s="5">
        <f>Q2*AVERAGE(J7:M7)</f>
        <v/>
      </c>
      <c r="R15" s="5">
        <f>R2*AVERAGE(K7:N7)</f>
        <v/>
      </c>
      <c r="S15" s="5">
        <f>S2*AVERAGE(L7:O7)</f>
        <v/>
      </c>
      <c r="T15" s="5">
        <f>T2*AVERAGE(M7:P7)</f>
        <v/>
      </c>
      <c r="U15" s="5">
        <f>U2*AVERAGE(N7:Q7)</f>
        <v/>
      </c>
      <c r="V15" s="5">
        <f>V2*AVERAGE(O7:R7)</f>
        <v/>
      </c>
      <c r="W15" s="5">
        <f>W2*AVERAGE(P7:S7)</f>
        <v/>
      </c>
    </row>
    <row r="16">
      <c r="A16" t="inlineStr">
        <is>
          <t>H4 trailing 4Q</t>
        </is>
      </c>
      <c r="J16" s="5">
        <f>SUM(G3:J3)</f>
        <v/>
      </c>
      <c r="K16" s="5">
        <f>SUM(H3:K3)</f>
        <v/>
      </c>
      <c r="L16" s="5">
        <f>SUM(I3:L3)</f>
        <v/>
      </c>
      <c r="M16" s="5">
        <f>SUM(J3:M3)</f>
        <v/>
      </c>
      <c r="N16" s="5">
        <f>SUM(K3:N3)</f>
        <v/>
      </c>
      <c r="O16" s="5">
        <f>SUM(L3:O3)</f>
        <v/>
      </c>
      <c r="P16" s="5">
        <f>SUM(M3:P3)</f>
        <v/>
      </c>
      <c r="Q16" s="5">
        <f>SUM(N3:Q3)</f>
        <v/>
      </c>
      <c r="R16" s="5">
        <f>SUM(O3:R3)</f>
        <v/>
      </c>
      <c r="S16" s="5">
        <f>SUM(P3:S3)</f>
        <v/>
      </c>
      <c r="T16" s="5">
        <f>SUM(Q3:T3)</f>
        <v/>
      </c>
      <c r="U16" s="5">
        <f>SUM(R3:U3)</f>
        <v/>
      </c>
      <c r="V16" s="5">
        <f>SUM(S3:V3)</f>
        <v/>
      </c>
      <c r="W16" s="5">
        <f>SUM(T3:W3)</f>
        <v/>
      </c>
    </row>
    <row r="17">
      <c r="A17" t="inlineStr">
        <is>
          <t>H4 trailing 4Q with drift</t>
        </is>
      </c>
      <c r="J17" s="5">
        <f>SUM(G3:J3)^2/SUM(C3:F3)</f>
        <v/>
      </c>
      <c r="K17" s="5">
        <f>SUM(H3:K3)^2/SUM(D3:G3)</f>
        <v/>
      </c>
      <c r="L17" s="5">
        <f>SUM(I3:L3)^2/SUM(E3:H3)</f>
        <v/>
      </c>
      <c r="M17" s="5">
        <f>SUM(J3:M3)^2/SUM(F3:I3)</f>
        <v/>
      </c>
      <c r="N17" s="5">
        <f>SUM(K3:N3)^2/SUM(G3:J3)</f>
        <v/>
      </c>
      <c r="O17" s="5">
        <f>SUM(L3:O3)^2/SUM(H3:K3)</f>
        <v/>
      </c>
      <c r="P17" s="5">
        <f>SUM(M3:P3)^2/SUM(I3:L3)</f>
        <v/>
      </c>
      <c r="Q17" s="5">
        <f>SUM(N3:Q3)^2/SUM(J3:M3)</f>
        <v/>
      </c>
      <c r="R17" s="5">
        <f>SUM(O3:R3)^2/SUM(K3:N3)</f>
        <v/>
      </c>
      <c r="S17" s="5">
        <f>SUM(P3:S3)^2/SUM(L3:O3)</f>
        <v/>
      </c>
      <c r="T17" s="5">
        <f>SUM(Q3:T3)^2/SUM(M3:P3)</f>
        <v/>
      </c>
      <c r="U17" s="5">
        <f>SUM(R3:U3)^2/SUM(N3:Q3)</f>
        <v/>
      </c>
      <c r="V17" s="5">
        <f>SUM(S3:V3)^2/SUM(O3:R3)</f>
        <v/>
      </c>
      <c r="W17" s="5">
        <f>SUM(T3:W3)^2/SUM(P3:S3)</f>
        <v/>
      </c>
    </row>
    <row r="18">
      <c r="A18" t="inlineStr">
        <is>
          <t>H4 backlog APE %</t>
        </is>
      </c>
      <c r="P18" s="7">
        <f>ABS(P14-P15)/P14*100</f>
        <v/>
      </c>
      <c r="Q18" s="7">
        <f>ABS(Q14-Q15)/Q14*100</f>
        <v/>
      </c>
      <c r="R18" s="7">
        <f>ABS(R14-R15)/R14*100</f>
        <v/>
      </c>
      <c r="S18" s="7">
        <f>ABS(S14-S15)/S14*100</f>
        <v/>
      </c>
      <c r="T18" s="7">
        <f>ABS(T14-T15)/T14*100</f>
        <v/>
      </c>
      <c r="U18" s="7">
        <f>ABS(U14-U15)/U14*100</f>
        <v/>
      </c>
      <c r="V18" s="7">
        <f>ABS(V14-V15)/V14*100</f>
        <v/>
      </c>
      <c r="W18" s="7">
        <f>ABS(W14-W15)/W14*100</f>
        <v/>
      </c>
    </row>
    <row r="19">
      <c r="A19" t="inlineStr">
        <is>
          <t>H4 trailing 4Q APE %</t>
        </is>
      </c>
      <c r="J19" s="7">
        <f>ABS(J14-J16)/J14*100</f>
        <v/>
      </c>
      <c r="K19" s="7">
        <f>ABS(K14-K16)/K14*100</f>
        <v/>
      </c>
      <c r="L19" s="7">
        <f>ABS(L14-L16)/L14*100</f>
        <v/>
      </c>
      <c r="M19" s="7">
        <f>ABS(M14-M16)/M14*100</f>
        <v/>
      </c>
      <c r="N19" s="7">
        <f>ABS(N14-N16)/N14*100</f>
        <v/>
      </c>
      <c r="O19" s="7">
        <f>ABS(O14-O16)/O14*100</f>
        <v/>
      </c>
      <c r="P19" s="7">
        <f>ABS(P14-P16)/P14*100</f>
        <v/>
      </c>
      <c r="Q19" s="7">
        <f>ABS(Q14-Q16)/Q14*100</f>
        <v/>
      </c>
      <c r="R19" s="7">
        <f>ABS(R14-R16)/R14*100</f>
        <v/>
      </c>
      <c r="S19" s="7">
        <f>ABS(S14-S16)/S14*100</f>
        <v/>
      </c>
      <c r="T19" s="7">
        <f>ABS(T14-T16)/T14*100</f>
        <v/>
      </c>
      <c r="U19" s="7">
        <f>ABS(U14-U16)/U14*100</f>
        <v/>
      </c>
      <c r="V19" s="7">
        <f>ABS(V14-V16)/V14*100</f>
        <v/>
      </c>
      <c r="W19" s="7">
        <f>ABS(W14-W16)/W14*100</f>
        <v/>
      </c>
    </row>
    <row r="20">
      <c r="A20" t="inlineStr">
        <is>
          <t>H4 trailing 4Q with drift APE %</t>
        </is>
      </c>
      <c r="J20" s="7">
        <f>ABS(J14-J17)/J14*100</f>
        <v/>
      </c>
      <c r="K20" s="7">
        <f>ABS(K14-K17)/K14*100</f>
        <v/>
      </c>
      <c r="L20" s="7">
        <f>ABS(L14-L17)/L14*100</f>
        <v/>
      </c>
      <c r="M20" s="7">
        <f>ABS(M14-M17)/M14*100</f>
        <v/>
      </c>
      <c r="N20" s="7">
        <f>ABS(N14-N17)/N14*100</f>
        <v/>
      </c>
      <c r="O20" s="7">
        <f>ABS(O14-O17)/O14*100</f>
        <v/>
      </c>
      <c r="P20" s="7">
        <f>ABS(P14-P17)/P14*100</f>
        <v/>
      </c>
      <c r="Q20" s="7">
        <f>ABS(Q14-Q17)/Q14*100</f>
        <v/>
      </c>
      <c r="R20" s="7">
        <f>ABS(R14-R17)/R14*100</f>
        <v/>
      </c>
      <c r="S20" s="7">
        <f>ABS(S14-S17)/S14*100</f>
        <v/>
      </c>
      <c r="T20" s="7">
        <f>ABS(T14-T17)/T14*100</f>
        <v/>
      </c>
      <c r="U20" s="7">
        <f>ABS(U14-U17)/U14*100</f>
        <v/>
      </c>
      <c r="V20" s="7">
        <f>ABS(V14-V17)/V14*100</f>
        <v/>
      </c>
      <c r="W20" s="7">
        <f>ABS(W14-W17)/W14*100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1" t="inlineStr">
        <is>
          <t>Quarter</t>
        </is>
      </c>
      <c r="B1" s="4" t="inlineStr">
        <is>
          <t>2018Q1</t>
        </is>
      </c>
      <c r="C1" s="4" t="inlineStr">
        <is>
          <t>2018Q2</t>
        </is>
      </c>
      <c r="D1" s="4" t="inlineStr">
        <is>
          <t>2018Q3</t>
        </is>
      </c>
      <c r="E1" s="4" t="inlineStr">
        <is>
          <t>2018Q4</t>
        </is>
      </c>
      <c r="F1" s="4" t="inlineStr">
        <is>
          <t>2019Q1</t>
        </is>
      </c>
      <c r="G1" s="4" t="inlineStr">
        <is>
          <t>2019Q2</t>
        </is>
      </c>
      <c r="H1" s="4" t="inlineStr">
        <is>
          <t>2019Q3</t>
        </is>
      </c>
      <c r="I1" s="4" t="inlineStr">
        <is>
          <t>2019Q4</t>
        </is>
      </c>
      <c r="J1" s="4" t="inlineStr">
        <is>
          <t>2020Q1</t>
        </is>
      </c>
      <c r="K1" s="4" t="inlineStr">
        <is>
          <t>2020Q2</t>
        </is>
      </c>
      <c r="L1" s="4" t="inlineStr">
        <is>
          <t>2020Q3</t>
        </is>
      </c>
      <c r="M1" s="4" t="inlineStr">
        <is>
          <t>2020Q4</t>
        </is>
      </c>
      <c r="N1" s="4" t="inlineStr">
        <is>
          <t>2021Q1</t>
        </is>
      </c>
      <c r="O1" s="4" t="inlineStr">
        <is>
          <t>2021Q2</t>
        </is>
      </c>
      <c r="P1" s="4" t="inlineStr">
        <is>
          <t>2021Q3</t>
        </is>
      </c>
      <c r="Q1" s="4" t="inlineStr">
        <is>
          <t>2021Q4</t>
        </is>
      </c>
      <c r="R1" s="4" t="inlineStr">
        <is>
          <t>2022Q1</t>
        </is>
      </c>
      <c r="S1" s="4" t="inlineStr">
        <is>
          <t>2022Q2</t>
        </is>
      </c>
      <c r="T1" s="4" t="inlineStr">
        <is>
          <t>2022Q3</t>
        </is>
      </c>
      <c r="U1" s="4" t="inlineStr">
        <is>
          <t>2022Q4</t>
        </is>
      </c>
      <c r="V1" s="4" t="inlineStr">
        <is>
          <t>2023Q1</t>
        </is>
      </c>
      <c r="W1" s="4" t="inlineStr">
        <is>
          <t>2023Q2</t>
        </is>
      </c>
      <c r="X1" s="4" t="inlineStr">
        <is>
          <t>2023Q3</t>
        </is>
      </c>
      <c r="Y1" s="4" t="inlineStr">
        <is>
          <t>2023Q4</t>
        </is>
      </c>
      <c r="Z1" s="4" t="inlineStr">
        <is>
          <t>2024Q1</t>
        </is>
      </c>
      <c r="AA1" s="4" t="inlineStr">
        <is>
          <t>2024Q2</t>
        </is>
      </c>
      <c r="AB1" s="4" t="inlineStr">
        <is>
          <t>2024Q3</t>
        </is>
      </c>
      <c r="AC1" s="4" t="inlineStr">
        <is>
          <t>2024Q4</t>
        </is>
      </c>
      <c r="AD1" s="4" t="inlineStr">
        <is>
          <t>2025Q1</t>
        </is>
      </c>
      <c r="AE1" s="4" t="inlineStr">
        <is>
          <t>2025Q2</t>
        </is>
      </c>
      <c r="AF1" s="4" t="inlineStr">
        <is>
          <t>2025Q3</t>
        </is>
      </c>
      <c r="AG1" s="4" t="inlineStr">
        <is>
          <t>2025Q4</t>
        </is>
      </c>
      <c r="AH1" s="4" t="inlineStr">
        <is>
          <t>2026Q1</t>
        </is>
      </c>
      <c r="AI1" s="4" t="inlineStr">
        <is>
          <t>2026Q2</t>
        </is>
      </c>
    </row>
    <row r="2">
      <c r="A2" t="inlineStr">
        <is>
          <t>Backlog (RPO)</t>
        </is>
      </c>
      <c r="B2" s="3" t="n">
        <v>104800</v>
      </c>
      <c r="C2" s="3" t="n">
        <v>105000</v>
      </c>
      <c r="D2" s="3" t="n">
        <v>109000</v>
      </c>
      <c r="E2" s="3" t="n">
        <v>130500</v>
      </c>
      <c r="F2" s="3" t="n">
        <v>133500</v>
      </c>
      <c r="G2" s="3" t="n">
        <v>136700</v>
      </c>
      <c r="H2" s="3" t="n">
        <v>137400</v>
      </c>
      <c r="I2" s="3" t="n">
        <v>144000</v>
      </c>
      <c r="J2" s="3" t="n">
        <v>144100</v>
      </c>
      <c r="K2" s="3" t="n">
        <v>150300</v>
      </c>
      <c r="L2" s="3" t="n">
        <v>150400</v>
      </c>
      <c r="M2" s="3" t="n">
        <v>147100</v>
      </c>
      <c r="N2" s="3" t="n">
        <v>147400</v>
      </c>
      <c r="O2" s="3" t="n">
        <v>141700</v>
      </c>
      <c r="P2" s="3" t="n">
        <v>134800</v>
      </c>
      <c r="Q2" s="3" t="n">
        <v>135400</v>
      </c>
      <c r="R2" s="3" t="n">
        <v>134200</v>
      </c>
      <c r="S2" s="3" t="n">
        <v>134600</v>
      </c>
      <c r="T2" s="3" t="n">
        <v>139700</v>
      </c>
      <c r="U2" s="3" t="n">
        <v>150000</v>
      </c>
      <c r="V2" s="3" t="n">
        <v>145100</v>
      </c>
      <c r="W2" s="3" t="n">
        <v>158000</v>
      </c>
      <c r="X2" s="3" t="n">
        <v>156000</v>
      </c>
      <c r="Y2" s="3" t="n">
        <v>160600</v>
      </c>
      <c r="Z2" s="3" t="n">
        <v>159400</v>
      </c>
      <c r="AA2" s="3" t="n">
        <v>158300</v>
      </c>
      <c r="AB2" s="3" t="n">
        <v>165700</v>
      </c>
      <c r="AC2" s="3" t="n">
        <v>176000</v>
      </c>
      <c r="AD2" s="3" t="n">
        <v>173000</v>
      </c>
      <c r="AE2" s="3" t="n">
        <v>166500</v>
      </c>
      <c r="AF2" s="3" t="n">
        <v>179100</v>
      </c>
      <c r="AG2" s="3" t="n">
        <v>193600</v>
      </c>
      <c r="AH2" s="3" t="n">
        <v>186400</v>
      </c>
      <c r="AI2" s="3" t="n">
        <v>230400</v>
      </c>
    </row>
    <row r="3">
      <c r="A3" t="inlineStr">
        <is>
          <t>Revenue</t>
        </is>
      </c>
      <c r="B3" s="3" t="n">
        <v>11635</v>
      </c>
      <c r="C3" s="3" t="n">
        <v>13398</v>
      </c>
      <c r="D3" s="3" t="n">
        <v>14318</v>
      </c>
      <c r="E3" s="3" t="n">
        <v>14411</v>
      </c>
      <c r="F3" s="3" t="n">
        <v>14336</v>
      </c>
      <c r="G3" s="3" t="n">
        <v>14427</v>
      </c>
      <c r="H3" s="3" t="n">
        <v>15171</v>
      </c>
      <c r="I3" s="3" t="n">
        <v>15878</v>
      </c>
      <c r="J3" s="3" t="n">
        <v>15651</v>
      </c>
      <c r="K3" s="3" t="n">
        <v>16220</v>
      </c>
      <c r="L3" s="3" t="n">
        <v>16495</v>
      </c>
      <c r="M3" s="3" t="n">
        <v>17032</v>
      </c>
      <c r="N3" s="3" t="n">
        <v>16258</v>
      </c>
      <c r="O3" s="3" t="n">
        <v>17029</v>
      </c>
      <c r="P3" s="3" t="n">
        <v>16028</v>
      </c>
      <c r="Q3" s="3" t="n">
        <v>17729</v>
      </c>
      <c r="R3" s="3" t="n">
        <v>14964</v>
      </c>
      <c r="S3" s="3" t="n">
        <v>15446</v>
      </c>
      <c r="T3" s="3" t="n">
        <v>16583</v>
      </c>
      <c r="U3" s="3" t="n">
        <v>18991</v>
      </c>
      <c r="V3" s="3" t="n">
        <v>15126</v>
      </c>
      <c r="W3" s="3" t="n">
        <v>16693</v>
      </c>
      <c r="X3" s="3" t="n">
        <v>16878</v>
      </c>
      <c r="Y3" s="3" t="n">
        <v>18874</v>
      </c>
      <c r="Z3" s="3" t="n">
        <v>17195</v>
      </c>
      <c r="AA3" s="3" t="n">
        <v>18122</v>
      </c>
      <c r="AB3" s="3" t="n">
        <v>17104</v>
      </c>
      <c r="AC3" s="3" t="n">
        <v>18622</v>
      </c>
      <c r="AD3" s="3" t="n">
        <v>17963</v>
      </c>
      <c r="AE3" s="3" t="n">
        <v>18155</v>
      </c>
      <c r="AF3" s="3" t="n">
        <v>18609</v>
      </c>
      <c r="AG3" s="3" t="n">
        <v>20321</v>
      </c>
      <c r="AH3" s="3" t="n">
        <v>18021</v>
      </c>
      <c r="AI3" s="3" t="n">
        <v>20063</v>
      </c>
    </row>
    <row r="4">
      <c r="A4" t="inlineStr">
        <is>
          <t>Implied bookings</t>
        </is>
      </c>
      <c r="C4" s="5">
        <f>C2-B2+C3</f>
        <v/>
      </c>
      <c r="D4" s="5">
        <f>D2-C2+D3</f>
        <v/>
      </c>
      <c r="E4" s="5">
        <f>E2-D2+E3</f>
        <v/>
      </c>
      <c r="F4" s="5">
        <f>F2-E2+F3</f>
        <v/>
      </c>
      <c r="G4" s="5">
        <f>G2-F2+G3</f>
        <v/>
      </c>
      <c r="H4" s="5">
        <f>H2-G2+H3</f>
        <v/>
      </c>
      <c r="I4" s="5">
        <f>I2-H2+I3</f>
        <v/>
      </c>
      <c r="J4" s="5">
        <f>J2-I2+J3</f>
        <v/>
      </c>
      <c r="K4" s="5">
        <f>K2-J2+K3</f>
        <v/>
      </c>
      <c r="L4" s="5">
        <f>L2-K2+L3</f>
        <v/>
      </c>
      <c r="M4" s="5">
        <f>M2-L2+M3</f>
        <v/>
      </c>
      <c r="N4" s="5">
        <f>N2-M2+N3</f>
        <v/>
      </c>
      <c r="O4" s="5">
        <f>O2-N2+O3</f>
        <v/>
      </c>
      <c r="P4" s="5">
        <f>P2-O2+P3</f>
        <v/>
      </c>
      <c r="Q4" s="5">
        <f>Q2-P2+Q3</f>
        <v/>
      </c>
      <c r="R4" s="5">
        <f>R2-Q2+R3</f>
        <v/>
      </c>
      <c r="S4" s="5">
        <f>S2-R2+S3</f>
        <v/>
      </c>
      <c r="T4" s="5">
        <f>T2-S2+T3</f>
        <v/>
      </c>
      <c r="U4" s="5">
        <f>U2-T2+U3</f>
        <v/>
      </c>
      <c r="V4" s="5">
        <f>V2-U2+V3</f>
        <v/>
      </c>
      <c r="W4" s="5">
        <f>W2-V2+W3</f>
        <v/>
      </c>
      <c r="X4" s="5">
        <f>X2-W2+X3</f>
        <v/>
      </c>
      <c r="Y4" s="5">
        <f>Y2-X2+Y3</f>
        <v/>
      </c>
      <c r="Z4" s="5">
        <f>Z2-Y2+Z3</f>
        <v/>
      </c>
      <c r="AA4" s="5">
        <f>AA2-Z2+AA3</f>
        <v/>
      </c>
      <c r="AB4" s="5">
        <f>AB2-AA2+AB3</f>
        <v/>
      </c>
      <c r="AC4" s="5">
        <f>AC2-AB2+AC3</f>
        <v/>
      </c>
      <c r="AD4" s="5">
        <f>AD2-AC2+AD3</f>
        <v/>
      </c>
      <c r="AE4" s="5">
        <f>AE2-AD2+AE3</f>
        <v/>
      </c>
      <c r="AF4" s="5">
        <f>AF2-AE2+AF3</f>
        <v/>
      </c>
      <c r="AG4" s="5">
        <f>AG2-AF2+AG3</f>
        <v/>
      </c>
      <c r="AH4" s="5">
        <f>AH2-AG2+AH3</f>
        <v/>
      </c>
      <c r="AI4" s="5">
        <f>AI2-AH2+AI3</f>
        <v/>
      </c>
    </row>
    <row r="5">
      <c r="A5" t="inlineStr">
        <is>
          <t>Book-to-bill</t>
        </is>
      </c>
      <c r="C5" s="6">
        <f>C4/C3</f>
        <v/>
      </c>
      <c r="D5" s="6">
        <f>D4/D3</f>
        <v/>
      </c>
      <c r="E5" s="6">
        <f>E4/E3</f>
        <v/>
      </c>
      <c r="F5" s="6">
        <f>F4/F3</f>
        <v/>
      </c>
      <c r="G5" s="6">
        <f>G4/G3</f>
        <v/>
      </c>
      <c r="H5" s="6">
        <f>H4/H3</f>
        <v/>
      </c>
      <c r="I5" s="6">
        <f>I4/I3</f>
        <v/>
      </c>
      <c r="J5" s="6">
        <f>J4/J3</f>
        <v/>
      </c>
      <c r="K5" s="6">
        <f>K4/K3</f>
        <v/>
      </c>
      <c r="L5" s="6">
        <f>L4/L3</f>
        <v/>
      </c>
      <c r="M5" s="6">
        <f>M4/M3</f>
        <v/>
      </c>
      <c r="N5" s="6">
        <f>N4/N3</f>
        <v/>
      </c>
      <c r="O5" s="6">
        <f>O4/O3</f>
        <v/>
      </c>
      <c r="P5" s="6">
        <f>P4/P3</f>
        <v/>
      </c>
      <c r="Q5" s="6">
        <f>Q4/Q3</f>
        <v/>
      </c>
      <c r="R5" s="6">
        <f>R4/R3</f>
        <v/>
      </c>
      <c r="S5" s="6">
        <f>S4/S3</f>
        <v/>
      </c>
      <c r="T5" s="6">
        <f>T4/T3</f>
        <v/>
      </c>
      <c r="U5" s="6">
        <f>U4/U3</f>
        <v/>
      </c>
      <c r="V5" s="6">
        <f>V4/V3</f>
        <v/>
      </c>
      <c r="W5" s="6">
        <f>W4/W3</f>
        <v/>
      </c>
      <c r="X5" s="6">
        <f>X4/X3</f>
        <v/>
      </c>
      <c r="Y5" s="6">
        <f>Y4/Y3</f>
        <v/>
      </c>
      <c r="Z5" s="6">
        <f>Z4/Z3</f>
        <v/>
      </c>
      <c r="AA5" s="6">
        <f>AA4/AA3</f>
        <v/>
      </c>
      <c r="AB5" s="6">
        <f>AB4/AB3</f>
        <v/>
      </c>
      <c r="AC5" s="6">
        <f>AC4/AC3</f>
        <v/>
      </c>
      <c r="AD5" s="6">
        <f>AD4/AD3</f>
        <v/>
      </c>
      <c r="AE5" s="6">
        <f>AE4/AE3</f>
        <v/>
      </c>
      <c r="AF5" s="6">
        <f>AF4/AF3</f>
        <v/>
      </c>
      <c r="AG5" s="6">
        <f>AG4/AG3</f>
        <v/>
      </c>
      <c r="AH5" s="6">
        <f>AH4/AH3</f>
        <v/>
      </c>
      <c r="AI5" s="6">
        <f>AI4/AI3</f>
        <v/>
      </c>
    </row>
    <row r="6">
      <c r="A6" t="inlineStr">
        <is>
          <t>Conversion 1Q</t>
        </is>
      </c>
      <c r="B6" s="6">
        <f>C3/B2</f>
        <v/>
      </c>
      <c r="C6" s="6">
        <f>D3/C2</f>
        <v/>
      </c>
      <c r="D6" s="6">
        <f>E3/D2</f>
        <v/>
      </c>
      <c r="E6" s="6">
        <f>F3/E2</f>
        <v/>
      </c>
      <c r="F6" s="6">
        <f>G3/F2</f>
        <v/>
      </c>
      <c r="G6" s="6">
        <f>H3/G2</f>
        <v/>
      </c>
      <c r="H6" s="6">
        <f>I3/H2</f>
        <v/>
      </c>
      <c r="I6" s="6">
        <f>J3/I2</f>
        <v/>
      </c>
      <c r="J6" s="6">
        <f>K3/J2</f>
        <v/>
      </c>
      <c r="K6" s="6">
        <f>L3/K2</f>
        <v/>
      </c>
      <c r="L6" s="6">
        <f>M3/L2</f>
        <v/>
      </c>
      <c r="M6" s="6">
        <f>N3/M2</f>
        <v/>
      </c>
      <c r="N6" s="6">
        <f>O3/N2</f>
        <v/>
      </c>
      <c r="O6" s="6">
        <f>P3/O2</f>
        <v/>
      </c>
      <c r="P6" s="6">
        <f>Q3/P2</f>
        <v/>
      </c>
      <c r="Q6" s="6">
        <f>R3/Q2</f>
        <v/>
      </c>
      <c r="R6" s="6">
        <f>S3/R2</f>
        <v/>
      </c>
      <c r="S6" s="6">
        <f>T3/S2</f>
        <v/>
      </c>
      <c r="T6" s="6">
        <f>U3/T2</f>
        <v/>
      </c>
      <c r="U6" s="6">
        <f>V3/U2</f>
        <v/>
      </c>
      <c r="V6" s="6">
        <f>W3/V2</f>
        <v/>
      </c>
      <c r="W6" s="6">
        <f>X3/W2</f>
        <v/>
      </c>
      <c r="X6" s="6">
        <f>Y3/X2</f>
        <v/>
      </c>
      <c r="Y6" s="6">
        <f>Z3/Y2</f>
        <v/>
      </c>
      <c r="Z6" s="6">
        <f>AA3/Z2</f>
        <v/>
      </c>
      <c r="AA6" s="6">
        <f>AB3/AA2</f>
        <v/>
      </c>
      <c r="AB6" s="6">
        <f>AC3/AB2</f>
        <v/>
      </c>
      <c r="AC6" s="6">
        <f>AD3/AC2</f>
        <v/>
      </c>
      <c r="AD6" s="6">
        <f>AE3/AD2</f>
        <v/>
      </c>
      <c r="AE6" s="6">
        <f>AF3/AE2</f>
        <v/>
      </c>
      <c r="AF6" s="6">
        <f>AG3/AF2</f>
        <v/>
      </c>
      <c r="AG6" s="6">
        <f>AH3/AG2</f>
        <v/>
      </c>
      <c r="AH6" s="6">
        <f>AI3/AH2</f>
        <v/>
      </c>
    </row>
    <row r="7">
      <c r="A7" t="inlineStr">
        <is>
          <t>Conversion 4Q</t>
        </is>
      </c>
      <c r="B7" s="6">
        <f>SUM(C3:F3)/B2</f>
        <v/>
      </c>
      <c r="C7" s="6">
        <f>SUM(D3:G3)/C2</f>
        <v/>
      </c>
      <c r="D7" s="6">
        <f>SUM(E3:H3)/D2</f>
        <v/>
      </c>
      <c r="E7" s="6">
        <f>SUM(F3:I3)/E2</f>
        <v/>
      </c>
      <c r="F7" s="6">
        <f>SUM(G3:J3)/F2</f>
        <v/>
      </c>
      <c r="G7" s="6">
        <f>SUM(H3:K3)/G2</f>
        <v/>
      </c>
      <c r="H7" s="6">
        <f>SUM(I3:L3)/H2</f>
        <v/>
      </c>
      <c r="I7" s="6">
        <f>SUM(J3:M3)/I2</f>
        <v/>
      </c>
      <c r="J7" s="6">
        <f>SUM(K3:N3)/J2</f>
        <v/>
      </c>
      <c r="K7" s="6">
        <f>SUM(L3:O3)/K2</f>
        <v/>
      </c>
      <c r="L7" s="6">
        <f>SUM(M3:P3)/L2</f>
        <v/>
      </c>
      <c r="M7" s="6">
        <f>SUM(N3:Q3)/M2</f>
        <v/>
      </c>
      <c r="N7" s="6">
        <f>SUM(O3:R3)/N2</f>
        <v/>
      </c>
      <c r="O7" s="6">
        <f>SUM(P3:S3)/O2</f>
        <v/>
      </c>
      <c r="P7" s="6">
        <f>SUM(Q3:T3)/P2</f>
        <v/>
      </c>
      <c r="Q7" s="6">
        <f>SUM(R3:U3)/Q2</f>
        <v/>
      </c>
      <c r="R7" s="6">
        <f>SUM(S3:V3)/R2</f>
        <v/>
      </c>
      <c r="S7" s="6">
        <f>SUM(T3:W3)/S2</f>
        <v/>
      </c>
      <c r="T7" s="6">
        <f>SUM(U3:X3)/T2</f>
        <v/>
      </c>
      <c r="U7" s="6">
        <f>SUM(V3:Y3)/U2</f>
        <v/>
      </c>
      <c r="V7" s="6">
        <f>SUM(W3:Z3)/V2</f>
        <v/>
      </c>
      <c r="W7" s="6">
        <f>SUM(X3:AA3)/W2</f>
        <v/>
      </c>
      <c r="X7" s="6">
        <f>SUM(Y3:AB3)/X2</f>
        <v/>
      </c>
      <c r="Y7" s="6">
        <f>SUM(Z3:AC3)/Y2</f>
        <v/>
      </c>
      <c r="Z7" s="6">
        <f>SUM(AA3:AD3)/Z2</f>
        <v/>
      </c>
      <c r="AA7" s="6">
        <f>SUM(AB3:AE3)/AA2</f>
        <v/>
      </c>
      <c r="AB7" s="6">
        <f>SUM(AC3:AF3)/AB2</f>
        <v/>
      </c>
      <c r="AC7" s="6">
        <f>SUM(AD3:AG3)/AC2</f>
        <v/>
      </c>
      <c r="AD7" s="6">
        <f>SUM(AE3:AH3)/AD2</f>
        <v/>
      </c>
      <c r="AE7" s="6">
        <f>SUM(AF3:AI3)/AE2</f>
        <v/>
      </c>
    </row>
    <row r="8">
      <c r="A8" t="inlineStr">
        <is>
          <t>H1 backlog forecast</t>
        </is>
      </c>
      <c r="K8" s="5">
        <f>J2*AVERAGE(F6,B6)</f>
        <v/>
      </c>
      <c r="L8" s="5">
        <f>K2*AVERAGE(G6,C6)</f>
        <v/>
      </c>
      <c r="M8" s="5">
        <f>L2*AVERAGE(H6,D6)</f>
        <v/>
      </c>
      <c r="N8" s="5">
        <f>M2*AVERAGE(I6,E6)</f>
        <v/>
      </c>
      <c r="O8" s="5">
        <f>N2*AVERAGE(J6,F6)</f>
        <v/>
      </c>
      <c r="P8" s="5">
        <f>O2*AVERAGE(K6,G6)</f>
        <v/>
      </c>
      <c r="Q8" s="5">
        <f>P2*AVERAGE(L6,H6)</f>
        <v/>
      </c>
      <c r="R8" s="5">
        <f>Q2*AVERAGE(M6,I6)</f>
        <v/>
      </c>
      <c r="S8" s="5">
        <f>R2*AVERAGE(N6,J6)</f>
        <v/>
      </c>
      <c r="T8" s="5">
        <f>S2*AVERAGE(O6,K6)</f>
        <v/>
      </c>
      <c r="U8" s="5">
        <f>T2*AVERAGE(P6,L6)</f>
        <v/>
      </c>
      <c r="V8" s="5">
        <f>U2*AVERAGE(Q6,M6)</f>
        <v/>
      </c>
      <c r="W8" s="5">
        <f>V2*AVERAGE(R6,N6)</f>
        <v/>
      </c>
      <c r="X8" s="5">
        <f>W2*AVERAGE(S6,O6)</f>
        <v/>
      </c>
      <c r="Y8" s="5">
        <f>X2*AVERAGE(T6,P6)</f>
        <v/>
      </c>
      <c r="Z8" s="5">
        <f>Y2*AVERAGE(U6,Q6)</f>
        <v/>
      </c>
      <c r="AA8" s="5">
        <f>Z2*AVERAGE(V6,R6)</f>
        <v/>
      </c>
      <c r="AB8" s="5">
        <f>AA2*AVERAGE(W6,S6)</f>
        <v/>
      </c>
      <c r="AC8" s="5">
        <f>AB2*AVERAGE(X6,T6)</f>
        <v/>
      </c>
      <c r="AD8" s="5">
        <f>AC2*AVERAGE(Y6,U6)</f>
        <v/>
      </c>
      <c r="AE8" s="5">
        <f>AD2*AVERAGE(Z6,V6)</f>
        <v/>
      </c>
      <c r="AF8" s="5">
        <f>AE2*AVERAGE(AA6,W6)</f>
        <v/>
      </c>
      <c r="AG8" s="5">
        <f>AF2*AVERAGE(AB6,X6)</f>
        <v/>
      </c>
      <c r="AH8" s="5">
        <f>AG2*AVERAGE(AC6,Y6)</f>
        <v/>
      </c>
      <c r="AI8" s="5">
        <f>AH2*AVERAGE(AD6,Z6)</f>
        <v/>
      </c>
    </row>
    <row r="9">
      <c r="A9" t="inlineStr">
        <is>
          <t>H1 seasonal naive</t>
        </is>
      </c>
      <c r="K9" s="5">
        <f>G3</f>
        <v/>
      </c>
      <c r="L9" s="5">
        <f>H3</f>
        <v/>
      </c>
      <c r="M9" s="5">
        <f>I3</f>
        <v/>
      </c>
      <c r="N9" s="5">
        <f>J3</f>
        <v/>
      </c>
      <c r="O9" s="5">
        <f>K3</f>
        <v/>
      </c>
      <c r="P9" s="5">
        <f>L3</f>
        <v/>
      </c>
      <c r="Q9" s="5">
        <f>M3</f>
        <v/>
      </c>
      <c r="R9" s="5">
        <f>N3</f>
        <v/>
      </c>
      <c r="S9" s="5">
        <f>O3</f>
        <v/>
      </c>
      <c r="T9" s="5">
        <f>P3</f>
        <v/>
      </c>
      <c r="U9" s="5">
        <f>Q3</f>
        <v/>
      </c>
      <c r="V9" s="5">
        <f>R3</f>
        <v/>
      </c>
      <c r="W9" s="5">
        <f>S3</f>
        <v/>
      </c>
      <c r="X9" s="5">
        <f>T3</f>
        <v/>
      </c>
      <c r="Y9" s="5">
        <f>U3</f>
        <v/>
      </c>
      <c r="Z9" s="5">
        <f>V3</f>
        <v/>
      </c>
      <c r="AA9" s="5">
        <f>W3</f>
        <v/>
      </c>
      <c r="AB9" s="5">
        <f>X3</f>
        <v/>
      </c>
      <c r="AC9" s="5">
        <f>Y3</f>
        <v/>
      </c>
      <c r="AD9" s="5">
        <f>Z3</f>
        <v/>
      </c>
      <c r="AE9" s="5">
        <f>AA3</f>
        <v/>
      </c>
      <c r="AF9" s="5">
        <f>AB3</f>
        <v/>
      </c>
      <c r="AG9" s="5">
        <f>AC3</f>
        <v/>
      </c>
      <c r="AH9" s="5">
        <f>AD3</f>
        <v/>
      </c>
      <c r="AI9" s="5">
        <f>AE3</f>
        <v/>
      </c>
    </row>
    <row r="10">
      <c r="A10" t="inlineStr">
        <is>
          <t>H1 naive with drift</t>
        </is>
      </c>
      <c r="K10" s="5">
        <f>G3*SUM(G3:J3)/SUM(C3:F3)</f>
        <v/>
      </c>
      <c r="L10" s="5">
        <f>H3*SUM(H3:K3)/SUM(D3:G3)</f>
        <v/>
      </c>
      <c r="M10" s="5">
        <f>I3*SUM(I3:L3)/SUM(E3:H3)</f>
        <v/>
      </c>
      <c r="N10" s="5">
        <f>J3*SUM(J3:M3)/SUM(F3:I3)</f>
        <v/>
      </c>
      <c r="O10" s="5">
        <f>K3*SUM(K3:N3)/SUM(G3:J3)</f>
        <v/>
      </c>
      <c r="P10" s="5">
        <f>L3*SUM(L3:O3)/SUM(H3:K3)</f>
        <v/>
      </c>
      <c r="Q10" s="5">
        <f>M3*SUM(M3:P3)/SUM(I3:L3)</f>
        <v/>
      </c>
      <c r="R10" s="5">
        <f>N3*SUM(N3:Q3)/SUM(J3:M3)</f>
        <v/>
      </c>
      <c r="S10" s="5">
        <f>O3*SUM(O3:R3)/SUM(K3:N3)</f>
        <v/>
      </c>
      <c r="T10" s="5">
        <f>P3*SUM(P3:S3)/SUM(L3:O3)</f>
        <v/>
      </c>
      <c r="U10" s="5">
        <f>Q3*SUM(Q3:T3)/SUM(M3:P3)</f>
        <v/>
      </c>
      <c r="V10" s="5">
        <f>R3*SUM(R3:U3)/SUM(N3:Q3)</f>
        <v/>
      </c>
      <c r="W10" s="5">
        <f>S3*SUM(S3:V3)/SUM(O3:R3)</f>
        <v/>
      </c>
      <c r="X10" s="5">
        <f>T3*SUM(T3:W3)/SUM(P3:S3)</f>
        <v/>
      </c>
      <c r="Y10" s="5">
        <f>U3*SUM(U3:X3)/SUM(Q3:T3)</f>
        <v/>
      </c>
      <c r="Z10" s="5">
        <f>V3*SUM(V3:Y3)/SUM(R3:U3)</f>
        <v/>
      </c>
      <c r="AA10" s="5">
        <f>W3*SUM(W3:Z3)/SUM(S3:V3)</f>
        <v/>
      </c>
      <c r="AB10" s="5">
        <f>X3*SUM(X3:AA3)/SUM(T3:W3)</f>
        <v/>
      </c>
      <c r="AC10" s="5">
        <f>Y3*SUM(Y3:AB3)/SUM(U3:X3)</f>
        <v/>
      </c>
      <c r="AD10" s="5">
        <f>Z3*SUM(Z3:AC3)/SUM(V3:Y3)</f>
        <v/>
      </c>
      <c r="AE10" s="5">
        <f>AA3*SUM(AA3:AD3)/SUM(W3:Z3)</f>
        <v/>
      </c>
      <c r="AF10" s="5">
        <f>AB3*SUM(AB3:AE3)/SUM(X3:AA3)</f>
        <v/>
      </c>
      <c r="AG10" s="5">
        <f>AC3*SUM(AC3:AF3)/SUM(Y3:AB3)</f>
        <v/>
      </c>
      <c r="AH10" s="5">
        <f>AD3*SUM(AD3:AG3)/SUM(Z3:AC3)</f>
        <v/>
      </c>
      <c r="AI10" s="5">
        <f>AE3*SUM(AE3:AH3)/SUM(AA3:AD3)</f>
        <v/>
      </c>
    </row>
    <row r="11">
      <c r="A11" t="inlineStr">
        <is>
          <t>H1 backlog APE %</t>
        </is>
      </c>
      <c r="K11" s="7">
        <f>ABS(K3-K8)/K3*100</f>
        <v/>
      </c>
      <c r="L11" s="7">
        <f>ABS(L3-L8)/L3*100</f>
        <v/>
      </c>
      <c r="M11" s="7">
        <f>ABS(M3-M8)/M3*100</f>
        <v/>
      </c>
      <c r="N11" s="7">
        <f>ABS(N3-N8)/N3*100</f>
        <v/>
      </c>
      <c r="O11" s="7">
        <f>ABS(O3-O8)/O3*100</f>
        <v/>
      </c>
      <c r="P11" s="7">
        <f>ABS(P3-P8)/P3*100</f>
        <v/>
      </c>
      <c r="Q11" s="7">
        <f>ABS(Q3-Q8)/Q3*100</f>
        <v/>
      </c>
      <c r="R11" s="7">
        <f>ABS(R3-R8)/R3*100</f>
        <v/>
      </c>
      <c r="S11" s="7">
        <f>ABS(S3-S8)/S3*100</f>
        <v/>
      </c>
      <c r="T11" s="7">
        <f>ABS(T3-T8)/T3*100</f>
        <v/>
      </c>
      <c r="U11" s="7">
        <f>ABS(U3-U8)/U3*100</f>
        <v/>
      </c>
      <c r="V11" s="7">
        <f>ABS(V3-V8)/V3*100</f>
        <v/>
      </c>
      <c r="W11" s="7">
        <f>ABS(W3-W8)/W3*100</f>
        <v/>
      </c>
      <c r="X11" s="7">
        <f>ABS(X3-X8)/X3*100</f>
        <v/>
      </c>
      <c r="Y11" s="7">
        <f>ABS(Y3-Y8)/Y3*100</f>
        <v/>
      </c>
      <c r="Z11" s="7">
        <f>ABS(Z3-Z8)/Z3*100</f>
        <v/>
      </c>
      <c r="AA11" s="7">
        <f>ABS(AA3-AA8)/AA3*100</f>
        <v/>
      </c>
      <c r="AB11" s="7">
        <f>ABS(AB3-AB8)/AB3*100</f>
        <v/>
      </c>
      <c r="AC11" s="7">
        <f>ABS(AC3-AC8)/AC3*100</f>
        <v/>
      </c>
      <c r="AD11" s="7">
        <f>ABS(AD3-AD8)/AD3*100</f>
        <v/>
      </c>
      <c r="AE11" s="7">
        <f>ABS(AE3-AE8)/AE3*100</f>
        <v/>
      </c>
      <c r="AF11" s="7">
        <f>ABS(AF3-AF8)/AF3*100</f>
        <v/>
      </c>
      <c r="AG11" s="7">
        <f>ABS(AG3-AG8)/AG3*100</f>
        <v/>
      </c>
      <c r="AH11" s="7">
        <f>ABS(AH3-AH8)/AH3*100</f>
        <v/>
      </c>
      <c r="AI11" s="7">
        <f>ABS(AI3-AI8)/AI3*100</f>
        <v/>
      </c>
    </row>
    <row r="12">
      <c r="A12" t="inlineStr">
        <is>
          <t>H1 seasonal naive APE %</t>
        </is>
      </c>
      <c r="K12" s="7">
        <f>ABS(K3-K9)/K3*100</f>
        <v/>
      </c>
      <c r="L12" s="7">
        <f>ABS(L3-L9)/L3*100</f>
        <v/>
      </c>
      <c r="M12" s="7">
        <f>ABS(M3-M9)/M3*100</f>
        <v/>
      </c>
      <c r="N12" s="7">
        <f>ABS(N3-N9)/N3*100</f>
        <v/>
      </c>
      <c r="O12" s="7">
        <f>ABS(O3-O9)/O3*100</f>
        <v/>
      </c>
      <c r="P12" s="7">
        <f>ABS(P3-P9)/P3*100</f>
        <v/>
      </c>
      <c r="Q12" s="7">
        <f>ABS(Q3-Q9)/Q3*100</f>
        <v/>
      </c>
      <c r="R12" s="7">
        <f>ABS(R3-R9)/R3*100</f>
        <v/>
      </c>
      <c r="S12" s="7">
        <f>ABS(S3-S9)/S3*100</f>
        <v/>
      </c>
      <c r="T12" s="7">
        <f>ABS(T3-T9)/T3*100</f>
        <v/>
      </c>
      <c r="U12" s="7">
        <f>ABS(U3-U9)/U3*100</f>
        <v/>
      </c>
      <c r="V12" s="7">
        <f>ABS(V3-V9)/V3*100</f>
        <v/>
      </c>
      <c r="W12" s="7">
        <f>ABS(W3-W9)/W3*100</f>
        <v/>
      </c>
      <c r="X12" s="7">
        <f>ABS(X3-X9)/X3*100</f>
        <v/>
      </c>
      <c r="Y12" s="7">
        <f>ABS(Y3-Y9)/Y3*100</f>
        <v/>
      </c>
      <c r="Z12" s="7">
        <f>ABS(Z3-Z9)/Z3*100</f>
        <v/>
      </c>
      <c r="AA12" s="7">
        <f>ABS(AA3-AA9)/AA3*100</f>
        <v/>
      </c>
      <c r="AB12" s="7">
        <f>ABS(AB3-AB9)/AB3*100</f>
        <v/>
      </c>
      <c r="AC12" s="7">
        <f>ABS(AC3-AC9)/AC3*100</f>
        <v/>
      </c>
      <c r="AD12" s="7">
        <f>ABS(AD3-AD9)/AD3*100</f>
        <v/>
      </c>
      <c r="AE12" s="7">
        <f>ABS(AE3-AE9)/AE3*100</f>
        <v/>
      </c>
      <c r="AF12" s="7">
        <f>ABS(AF3-AF9)/AF3*100</f>
        <v/>
      </c>
      <c r="AG12" s="7">
        <f>ABS(AG3-AG9)/AG3*100</f>
        <v/>
      </c>
      <c r="AH12" s="7">
        <f>ABS(AH3-AH9)/AH3*100</f>
        <v/>
      </c>
      <c r="AI12" s="7">
        <f>ABS(AI3-AI9)/AI3*100</f>
        <v/>
      </c>
    </row>
    <row r="13">
      <c r="A13" t="inlineStr">
        <is>
          <t>H1 naive with drift APE %</t>
        </is>
      </c>
      <c r="K13" s="7">
        <f>ABS(K3-K10)/K3*100</f>
        <v/>
      </c>
      <c r="L13" s="7">
        <f>ABS(L3-L10)/L3*100</f>
        <v/>
      </c>
      <c r="M13" s="7">
        <f>ABS(M3-M10)/M3*100</f>
        <v/>
      </c>
      <c r="N13" s="7">
        <f>ABS(N3-N10)/N3*100</f>
        <v/>
      </c>
      <c r="O13" s="7">
        <f>ABS(O3-O10)/O3*100</f>
        <v/>
      </c>
      <c r="P13" s="7">
        <f>ABS(P3-P10)/P3*100</f>
        <v/>
      </c>
      <c r="Q13" s="7">
        <f>ABS(Q3-Q10)/Q3*100</f>
        <v/>
      </c>
      <c r="R13" s="7">
        <f>ABS(R3-R10)/R3*100</f>
        <v/>
      </c>
      <c r="S13" s="7">
        <f>ABS(S3-S10)/S3*100</f>
        <v/>
      </c>
      <c r="T13" s="7">
        <f>ABS(T3-T10)/T3*100</f>
        <v/>
      </c>
      <c r="U13" s="7">
        <f>ABS(U3-U10)/U3*100</f>
        <v/>
      </c>
      <c r="V13" s="7">
        <f>ABS(V3-V10)/V3*100</f>
        <v/>
      </c>
      <c r="W13" s="7">
        <f>ABS(W3-W10)/W3*100</f>
        <v/>
      </c>
      <c r="X13" s="7">
        <f>ABS(X3-X10)/X3*100</f>
        <v/>
      </c>
      <c r="Y13" s="7">
        <f>ABS(Y3-Y10)/Y3*100</f>
        <v/>
      </c>
      <c r="Z13" s="7">
        <f>ABS(Z3-Z10)/Z3*100</f>
        <v/>
      </c>
      <c r="AA13" s="7">
        <f>ABS(AA3-AA10)/AA3*100</f>
        <v/>
      </c>
      <c r="AB13" s="7">
        <f>ABS(AB3-AB10)/AB3*100</f>
        <v/>
      </c>
      <c r="AC13" s="7">
        <f>ABS(AC3-AC10)/AC3*100</f>
        <v/>
      </c>
      <c r="AD13" s="7">
        <f>ABS(AD3-AD10)/AD3*100</f>
        <v/>
      </c>
      <c r="AE13" s="7">
        <f>ABS(AE3-AE10)/AE3*100</f>
        <v/>
      </c>
      <c r="AF13" s="7">
        <f>ABS(AF3-AF10)/AF3*100</f>
        <v/>
      </c>
      <c r="AG13" s="7">
        <f>ABS(AG3-AG10)/AG3*100</f>
        <v/>
      </c>
      <c r="AH13" s="7">
        <f>ABS(AH3-AH10)/AH3*100</f>
        <v/>
      </c>
      <c r="AI13" s="7">
        <f>ABS(AI3-AI10)/AI3*100</f>
        <v/>
      </c>
    </row>
    <row r="14">
      <c r="A14" t="inlineStr">
        <is>
          <t>H4 actual</t>
        </is>
      </c>
      <c r="J14" s="5">
        <f>SUM(K3:N3)</f>
        <v/>
      </c>
      <c r="K14" s="5">
        <f>SUM(L3:O3)</f>
        <v/>
      </c>
      <c r="L14" s="5">
        <f>SUM(M3:P3)</f>
        <v/>
      </c>
      <c r="M14" s="5">
        <f>SUM(N3:Q3)</f>
        <v/>
      </c>
      <c r="N14" s="5">
        <f>SUM(O3:R3)</f>
        <v/>
      </c>
      <c r="O14" s="5">
        <f>SUM(P3:S3)</f>
        <v/>
      </c>
      <c r="P14" s="5">
        <f>SUM(Q3:T3)</f>
        <v/>
      </c>
      <c r="Q14" s="5">
        <f>SUM(R3:U3)</f>
        <v/>
      </c>
      <c r="R14" s="5">
        <f>SUM(S3:V3)</f>
        <v/>
      </c>
      <c r="S14" s="5">
        <f>SUM(T3:W3)</f>
        <v/>
      </c>
      <c r="T14" s="5">
        <f>SUM(U3:X3)</f>
        <v/>
      </c>
      <c r="U14" s="5">
        <f>SUM(V3:Y3)</f>
        <v/>
      </c>
      <c r="V14" s="5">
        <f>SUM(W3:Z3)</f>
        <v/>
      </c>
      <c r="W14" s="5">
        <f>SUM(X3:AA3)</f>
        <v/>
      </c>
      <c r="X14" s="5">
        <f>SUM(Y3:AB3)</f>
        <v/>
      </c>
      <c r="Y14" s="5">
        <f>SUM(Z3:AC3)</f>
        <v/>
      </c>
      <c r="Z14" s="5">
        <f>SUM(AA3:AD3)</f>
        <v/>
      </c>
      <c r="AA14" s="5">
        <f>SUM(AB3:AE3)</f>
        <v/>
      </c>
      <c r="AB14" s="5">
        <f>SUM(AC3:AF3)</f>
        <v/>
      </c>
      <c r="AC14" s="5">
        <f>SUM(AD3:AG3)</f>
        <v/>
      </c>
      <c r="AD14" s="5">
        <f>SUM(AE3:AH3)</f>
        <v/>
      </c>
      <c r="AE14" s="5">
        <f>SUM(AF3:AI3)</f>
        <v/>
      </c>
    </row>
    <row r="15">
      <c r="A15" t="inlineStr">
        <is>
          <t>H4 backlog forecast</t>
        </is>
      </c>
      <c r="J15" s="5">
        <f>J2*AVERAGE(C7:F7)</f>
        <v/>
      </c>
      <c r="K15" s="5">
        <f>K2*AVERAGE(D7:G7)</f>
        <v/>
      </c>
      <c r="L15" s="5">
        <f>L2*AVERAGE(E7:H7)</f>
        <v/>
      </c>
      <c r="M15" s="5">
        <f>M2*AVERAGE(F7:I7)</f>
        <v/>
      </c>
      <c r="N15" s="5">
        <f>N2*AVERAGE(G7:J7)</f>
        <v/>
      </c>
      <c r="O15" s="5">
        <f>O2*AVERAGE(H7:K7)</f>
        <v/>
      </c>
      <c r="P15" s="5">
        <f>P2*AVERAGE(I7:L7)</f>
        <v/>
      </c>
      <c r="Q15" s="5">
        <f>Q2*AVERAGE(J7:M7)</f>
        <v/>
      </c>
      <c r="R15" s="5">
        <f>R2*AVERAGE(K7:N7)</f>
        <v/>
      </c>
      <c r="S15" s="5">
        <f>S2*AVERAGE(L7:O7)</f>
        <v/>
      </c>
      <c r="T15" s="5">
        <f>T2*AVERAGE(M7:P7)</f>
        <v/>
      </c>
      <c r="U15" s="5">
        <f>U2*AVERAGE(N7:Q7)</f>
        <v/>
      </c>
      <c r="V15" s="5">
        <f>V2*AVERAGE(O7:R7)</f>
        <v/>
      </c>
      <c r="W15" s="5">
        <f>W2*AVERAGE(P7:S7)</f>
        <v/>
      </c>
      <c r="X15" s="5">
        <f>X2*AVERAGE(Q7:T7)</f>
        <v/>
      </c>
      <c r="Y15" s="5">
        <f>Y2*AVERAGE(R7:U7)</f>
        <v/>
      </c>
      <c r="Z15" s="5">
        <f>Z2*AVERAGE(S7:V7)</f>
        <v/>
      </c>
      <c r="AA15" s="5">
        <f>AA2*AVERAGE(T7:W7)</f>
        <v/>
      </c>
      <c r="AB15" s="5">
        <f>AB2*AVERAGE(U7:X7)</f>
        <v/>
      </c>
      <c r="AC15" s="5">
        <f>AC2*AVERAGE(V7:Y7)</f>
        <v/>
      </c>
      <c r="AD15" s="5">
        <f>AD2*AVERAGE(W7:Z7)</f>
        <v/>
      </c>
      <c r="AE15" s="5">
        <f>AE2*AVERAGE(X7:AA7)</f>
        <v/>
      </c>
    </row>
    <row r="16">
      <c r="A16" t="inlineStr">
        <is>
          <t>H4 trailing 4Q</t>
        </is>
      </c>
      <c r="J16" s="5">
        <f>SUM(G3:J3)</f>
        <v/>
      </c>
      <c r="K16" s="5">
        <f>SUM(H3:K3)</f>
        <v/>
      </c>
      <c r="L16" s="5">
        <f>SUM(I3:L3)</f>
        <v/>
      </c>
      <c r="M16" s="5">
        <f>SUM(J3:M3)</f>
        <v/>
      </c>
      <c r="N16" s="5">
        <f>SUM(K3:N3)</f>
        <v/>
      </c>
      <c r="O16" s="5">
        <f>SUM(L3:O3)</f>
        <v/>
      </c>
      <c r="P16" s="5">
        <f>SUM(M3:P3)</f>
        <v/>
      </c>
      <c r="Q16" s="5">
        <f>SUM(N3:Q3)</f>
        <v/>
      </c>
      <c r="R16" s="5">
        <f>SUM(O3:R3)</f>
        <v/>
      </c>
      <c r="S16" s="5">
        <f>SUM(P3:S3)</f>
        <v/>
      </c>
      <c r="T16" s="5">
        <f>SUM(Q3:T3)</f>
        <v/>
      </c>
      <c r="U16" s="5">
        <f>SUM(R3:U3)</f>
        <v/>
      </c>
      <c r="V16" s="5">
        <f>SUM(S3:V3)</f>
        <v/>
      </c>
      <c r="W16" s="5">
        <f>SUM(T3:W3)</f>
        <v/>
      </c>
      <c r="X16" s="5">
        <f>SUM(U3:X3)</f>
        <v/>
      </c>
      <c r="Y16" s="5">
        <f>SUM(V3:Y3)</f>
        <v/>
      </c>
      <c r="Z16" s="5">
        <f>SUM(W3:Z3)</f>
        <v/>
      </c>
      <c r="AA16" s="5">
        <f>SUM(X3:AA3)</f>
        <v/>
      </c>
      <c r="AB16" s="5">
        <f>SUM(Y3:AB3)</f>
        <v/>
      </c>
      <c r="AC16" s="5">
        <f>SUM(Z3:AC3)</f>
        <v/>
      </c>
      <c r="AD16" s="5">
        <f>SUM(AA3:AD3)</f>
        <v/>
      </c>
      <c r="AE16" s="5">
        <f>SUM(AB3:AE3)</f>
        <v/>
      </c>
    </row>
    <row r="17">
      <c r="A17" t="inlineStr">
        <is>
          <t>H4 trailing 4Q with drift</t>
        </is>
      </c>
      <c r="J17" s="5">
        <f>SUM(G3:J3)^2/SUM(C3:F3)</f>
        <v/>
      </c>
      <c r="K17" s="5">
        <f>SUM(H3:K3)^2/SUM(D3:G3)</f>
        <v/>
      </c>
      <c r="L17" s="5">
        <f>SUM(I3:L3)^2/SUM(E3:H3)</f>
        <v/>
      </c>
      <c r="M17" s="5">
        <f>SUM(J3:M3)^2/SUM(F3:I3)</f>
        <v/>
      </c>
      <c r="N17" s="5">
        <f>SUM(K3:N3)^2/SUM(G3:J3)</f>
        <v/>
      </c>
      <c r="O17" s="5">
        <f>SUM(L3:O3)^2/SUM(H3:K3)</f>
        <v/>
      </c>
      <c r="P17" s="5">
        <f>SUM(M3:P3)^2/SUM(I3:L3)</f>
        <v/>
      </c>
      <c r="Q17" s="5">
        <f>SUM(N3:Q3)^2/SUM(J3:M3)</f>
        <v/>
      </c>
      <c r="R17" s="5">
        <f>SUM(O3:R3)^2/SUM(K3:N3)</f>
        <v/>
      </c>
      <c r="S17" s="5">
        <f>SUM(P3:S3)^2/SUM(L3:O3)</f>
        <v/>
      </c>
      <c r="T17" s="5">
        <f>SUM(Q3:T3)^2/SUM(M3:P3)</f>
        <v/>
      </c>
      <c r="U17" s="5">
        <f>SUM(R3:U3)^2/SUM(N3:Q3)</f>
        <v/>
      </c>
      <c r="V17" s="5">
        <f>SUM(S3:V3)^2/SUM(O3:R3)</f>
        <v/>
      </c>
      <c r="W17" s="5">
        <f>SUM(T3:W3)^2/SUM(P3:S3)</f>
        <v/>
      </c>
      <c r="X17" s="5">
        <f>SUM(U3:X3)^2/SUM(Q3:T3)</f>
        <v/>
      </c>
      <c r="Y17" s="5">
        <f>SUM(V3:Y3)^2/SUM(R3:U3)</f>
        <v/>
      </c>
      <c r="Z17" s="5">
        <f>SUM(W3:Z3)^2/SUM(S3:V3)</f>
        <v/>
      </c>
      <c r="AA17" s="5">
        <f>SUM(X3:AA3)^2/SUM(T3:W3)</f>
        <v/>
      </c>
      <c r="AB17" s="5">
        <f>SUM(Y3:AB3)^2/SUM(U3:X3)</f>
        <v/>
      </c>
      <c r="AC17" s="5">
        <f>SUM(Z3:AC3)^2/SUM(V3:Y3)</f>
        <v/>
      </c>
      <c r="AD17" s="5">
        <f>SUM(AA3:AD3)^2/SUM(W3:Z3)</f>
        <v/>
      </c>
      <c r="AE17" s="5">
        <f>SUM(AB3:AE3)^2/SUM(X3:AA3)</f>
        <v/>
      </c>
    </row>
    <row r="18">
      <c r="A18" t="inlineStr">
        <is>
          <t>H4 backlog APE %</t>
        </is>
      </c>
      <c r="J18" s="7">
        <f>ABS(J14-J15)/J14*100</f>
        <v/>
      </c>
      <c r="K18" s="7">
        <f>ABS(K14-K15)/K14*100</f>
        <v/>
      </c>
      <c r="L18" s="7">
        <f>ABS(L14-L15)/L14*100</f>
        <v/>
      </c>
      <c r="M18" s="7">
        <f>ABS(M14-M15)/M14*100</f>
        <v/>
      </c>
      <c r="N18" s="7">
        <f>ABS(N14-N15)/N14*100</f>
        <v/>
      </c>
      <c r="O18" s="7">
        <f>ABS(O14-O15)/O14*100</f>
        <v/>
      </c>
      <c r="P18" s="7">
        <f>ABS(P14-P15)/P14*100</f>
        <v/>
      </c>
      <c r="Q18" s="7">
        <f>ABS(Q14-Q15)/Q14*100</f>
        <v/>
      </c>
      <c r="R18" s="7">
        <f>ABS(R14-R15)/R14*100</f>
        <v/>
      </c>
      <c r="S18" s="7">
        <f>ABS(S14-S15)/S14*100</f>
        <v/>
      </c>
      <c r="T18" s="7">
        <f>ABS(T14-T15)/T14*100</f>
        <v/>
      </c>
      <c r="U18" s="7">
        <f>ABS(U14-U15)/U14*100</f>
        <v/>
      </c>
      <c r="V18" s="7">
        <f>ABS(V14-V15)/V14*100</f>
        <v/>
      </c>
      <c r="W18" s="7">
        <f>ABS(W14-W15)/W14*100</f>
        <v/>
      </c>
      <c r="X18" s="7">
        <f>ABS(X14-X15)/X14*100</f>
        <v/>
      </c>
      <c r="Y18" s="7">
        <f>ABS(Y14-Y15)/Y14*100</f>
        <v/>
      </c>
      <c r="Z18" s="7">
        <f>ABS(Z14-Z15)/Z14*100</f>
        <v/>
      </c>
      <c r="AA18" s="7">
        <f>ABS(AA14-AA15)/AA14*100</f>
        <v/>
      </c>
      <c r="AB18" s="7">
        <f>ABS(AB14-AB15)/AB14*100</f>
        <v/>
      </c>
      <c r="AC18" s="7">
        <f>ABS(AC14-AC15)/AC14*100</f>
        <v/>
      </c>
      <c r="AD18" s="7">
        <f>ABS(AD14-AD15)/AD14*100</f>
        <v/>
      </c>
      <c r="AE18" s="7">
        <f>ABS(AE14-AE15)/AE14*100</f>
        <v/>
      </c>
    </row>
    <row r="19">
      <c r="A19" t="inlineStr">
        <is>
          <t>H4 trailing 4Q APE %</t>
        </is>
      </c>
      <c r="J19" s="7">
        <f>ABS(J14-J16)/J14*100</f>
        <v/>
      </c>
      <c r="K19" s="7">
        <f>ABS(K14-K16)/K14*100</f>
        <v/>
      </c>
      <c r="L19" s="7">
        <f>ABS(L14-L16)/L14*100</f>
        <v/>
      </c>
      <c r="M19" s="7">
        <f>ABS(M14-M16)/M14*100</f>
        <v/>
      </c>
      <c r="N19" s="7">
        <f>ABS(N14-N16)/N14*100</f>
        <v/>
      </c>
      <c r="O19" s="7">
        <f>ABS(O14-O16)/O14*100</f>
        <v/>
      </c>
      <c r="P19" s="7">
        <f>ABS(P14-P16)/P14*100</f>
        <v/>
      </c>
      <c r="Q19" s="7">
        <f>ABS(Q14-Q16)/Q14*100</f>
        <v/>
      </c>
      <c r="R19" s="7">
        <f>ABS(R14-R16)/R14*100</f>
        <v/>
      </c>
      <c r="S19" s="7">
        <f>ABS(S14-S16)/S14*100</f>
        <v/>
      </c>
      <c r="T19" s="7">
        <f>ABS(T14-T16)/T14*100</f>
        <v/>
      </c>
      <c r="U19" s="7">
        <f>ABS(U14-U16)/U14*100</f>
        <v/>
      </c>
      <c r="V19" s="7">
        <f>ABS(V14-V16)/V14*100</f>
        <v/>
      </c>
      <c r="W19" s="7">
        <f>ABS(W14-W16)/W14*100</f>
        <v/>
      </c>
      <c r="X19" s="7">
        <f>ABS(X14-X16)/X14*100</f>
        <v/>
      </c>
      <c r="Y19" s="7">
        <f>ABS(Y14-Y16)/Y14*100</f>
        <v/>
      </c>
      <c r="Z19" s="7">
        <f>ABS(Z14-Z16)/Z14*100</f>
        <v/>
      </c>
      <c r="AA19" s="7">
        <f>ABS(AA14-AA16)/AA14*100</f>
        <v/>
      </c>
      <c r="AB19" s="7">
        <f>ABS(AB14-AB16)/AB14*100</f>
        <v/>
      </c>
      <c r="AC19" s="7">
        <f>ABS(AC14-AC16)/AC14*100</f>
        <v/>
      </c>
      <c r="AD19" s="7">
        <f>ABS(AD14-AD16)/AD14*100</f>
        <v/>
      </c>
      <c r="AE19" s="7">
        <f>ABS(AE14-AE16)/AE14*100</f>
        <v/>
      </c>
    </row>
    <row r="20">
      <c r="A20" t="inlineStr">
        <is>
          <t>H4 trailing 4Q with drift APE %</t>
        </is>
      </c>
      <c r="J20" s="7">
        <f>ABS(J14-J17)/J14*100</f>
        <v/>
      </c>
      <c r="K20" s="7">
        <f>ABS(K14-K17)/K14*100</f>
        <v/>
      </c>
      <c r="L20" s="7">
        <f>ABS(L14-L17)/L14*100</f>
        <v/>
      </c>
      <c r="M20" s="7">
        <f>ABS(M14-M17)/M14*100</f>
        <v/>
      </c>
      <c r="N20" s="7">
        <f>ABS(N14-N17)/N14*100</f>
        <v/>
      </c>
      <c r="O20" s="7">
        <f>ABS(O14-O17)/O14*100</f>
        <v/>
      </c>
      <c r="P20" s="7">
        <f>ABS(P14-P17)/P14*100</f>
        <v/>
      </c>
      <c r="Q20" s="7">
        <f>ABS(Q14-Q17)/Q14*100</f>
        <v/>
      </c>
      <c r="R20" s="7">
        <f>ABS(R14-R17)/R14*100</f>
        <v/>
      </c>
      <c r="S20" s="7">
        <f>ABS(S14-S17)/S14*100</f>
        <v/>
      </c>
      <c r="T20" s="7">
        <f>ABS(T14-T17)/T14*100</f>
        <v/>
      </c>
      <c r="U20" s="7">
        <f>ABS(U14-U17)/U14*100</f>
        <v/>
      </c>
      <c r="V20" s="7">
        <f>ABS(V14-V17)/V14*100</f>
        <v/>
      </c>
      <c r="W20" s="7">
        <f>ABS(W14-W17)/W14*100</f>
        <v/>
      </c>
      <c r="X20" s="7">
        <f>ABS(X14-X17)/X14*100</f>
        <v/>
      </c>
      <c r="Y20" s="7">
        <f>ABS(Y14-Y17)/Y14*100</f>
        <v/>
      </c>
      <c r="Z20" s="7">
        <f>ABS(Z14-Z17)/Z14*100</f>
        <v/>
      </c>
      <c r="AA20" s="7">
        <f>ABS(AA14-AA17)/AA14*100</f>
        <v/>
      </c>
      <c r="AB20" s="7">
        <f>ABS(AB14-AB17)/AB14*100</f>
        <v/>
      </c>
      <c r="AC20" s="7">
        <f>ABS(AC14-AC17)/AC14*100</f>
        <v/>
      </c>
      <c r="AD20" s="7">
        <f>ABS(AD14-AD17)/AD14*100</f>
        <v/>
      </c>
      <c r="AE20" s="7">
        <f>ABS(AE14-AE17)/AE14*100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Quarter</t>
        </is>
      </c>
      <c r="B1" s="4" t="inlineStr">
        <is>
          <t>2018Q3</t>
        </is>
      </c>
      <c r="C1" s="4" t="inlineStr">
        <is>
          <t>2018Q4</t>
        </is>
      </c>
      <c r="D1" s="4" t="inlineStr">
        <is>
          <t>2019Q1</t>
        </is>
      </c>
      <c r="E1" s="4" t="inlineStr">
        <is>
          <t>2019Q2</t>
        </is>
      </c>
      <c r="F1" s="4" t="inlineStr">
        <is>
          <t>2019Q3</t>
        </is>
      </c>
      <c r="G1" s="4" t="inlineStr">
        <is>
          <t>2019Q4</t>
        </is>
      </c>
      <c r="H1" s="4" t="inlineStr">
        <is>
          <t>2020Q1</t>
        </is>
      </c>
      <c r="I1" s="4" t="inlineStr">
        <is>
          <t>2020Q2</t>
        </is>
      </c>
      <c r="J1" s="4" t="inlineStr">
        <is>
          <t>2020Q3</t>
        </is>
      </c>
      <c r="K1" s="4" t="inlineStr">
        <is>
          <t>2020Q4</t>
        </is>
      </c>
      <c r="L1" s="4" t="inlineStr">
        <is>
          <t>2021Q1</t>
        </is>
      </c>
      <c r="M1" s="4" t="inlineStr">
        <is>
          <t>2021Q2</t>
        </is>
      </c>
      <c r="N1" s="4" t="inlineStr">
        <is>
          <t>2021Q3</t>
        </is>
      </c>
      <c r="O1" s="4" t="inlineStr">
        <is>
          <t>2021Q4</t>
        </is>
      </c>
      <c r="P1" s="4" t="inlineStr">
        <is>
          <t>2022Q1</t>
        </is>
      </c>
      <c r="Q1" s="4" t="inlineStr">
        <is>
          <t>2022Q2</t>
        </is>
      </c>
      <c r="R1" s="4" t="inlineStr">
        <is>
          <t>2022Q3</t>
        </is>
      </c>
      <c r="S1" s="4" t="inlineStr">
        <is>
          <t>2022Q4</t>
        </is>
      </c>
      <c r="T1" s="4" t="inlineStr">
        <is>
          <t>2023Q1</t>
        </is>
      </c>
      <c r="U1" s="4" t="inlineStr">
        <is>
          <t>2023Q2</t>
        </is>
      </c>
      <c r="V1" s="4" t="inlineStr">
        <is>
          <t>2023Q3</t>
        </is>
      </c>
      <c r="W1" s="4" t="inlineStr">
        <is>
          <t>2023Q4</t>
        </is>
      </c>
      <c r="X1" s="4" t="inlineStr">
        <is>
          <t>2024Q1</t>
        </is>
      </c>
      <c r="Y1" s="4" t="inlineStr">
        <is>
          <t>2024Q2</t>
        </is>
      </c>
      <c r="Z1" s="4" t="inlineStr">
        <is>
          <t>2024Q3</t>
        </is>
      </c>
      <c r="AA1" s="4" t="inlineStr">
        <is>
          <t>2024Q4</t>
        </is>
      </c>
      <c r="AB1" s="4" t="inlineStr">
        <is>
          <t>2025Q1</t>
        </is>
      </c>
      <c r="AC1" s="4" t="inlineStr">
        <is>
          <t>2025Q2</t>
        </is>
      </c>
      <c r="AD1" s="4" t="inlineStr">
        <is>
          <t>2025Q3</t>
        </is>
      </c>
      <c r="AE1" s="4" t="inlineStr">
        <is>
          <t>2025Q4</t>
        </is>
      </c>
      <c r="AF1" s="4" t="inlineStr">
        <is>
          <t>2026Q1</t>
        </is>
      </c>
      <c r="AG1" s="4" t="inlineStr">
        <is>
          <t>2026Q2</t>
        </is>
      </c>
    </row>
    <row r="2">
      <c r="A2" t="inlineStr">
        <is>
          <t>Backlog (RPO)</t>
        </is>
      </c>
      <c r="B2" s="3" t="n">
        <v>52600</v>
      </c>
      <c r="C2" s="3" t="n">
        <v>53500</v>
      </c>
      <c r="D2" s="3" t="n">
        <v>57300</v>
      </c>
      <c r="E2" s="3" t="n">
        <v>63000</v>
      </c>
      <c r="F2" s="3" t="n">
        <v>65000</v>
      </c>
      <c r="G2" s="3" t="n">
        <v>64800</v>
      </c>
      <c r="H2" s="3" t="n">
        <v>64200</v>
      </c>
      <c r="I2" s="3" t="n">
        <v>70000</v>
      </c>
      <c r="J2" s="3" t="n">
        <v>81300</v>
      </c>
      <c r="K2" s="3" t="n">
        <v>81000</v>
      </c>
      <c r="L2" s="3" t="n">
        <v>79300</v>
      </c>
      <c r="M2" s="3" t="n">
        <v>76600</v>
      </c>
      <c r="N2" s="3" t="n">
        <v>74800</v>
      </c>
      <c r="O2" s="3" t="n">
        <v>76000</v>
      </c>
      <c r="P2" s="3" t="n">
        <v>75800</v>
      </c>
      <c r="Q2" s="3" t="n">
        <v>80000</v>
      </c>
      <c r="R2" s="3" t="n">
        <v>79600</v>
      </c>
      <c r="S2" s="3" t="n">
        <v>78700</v>
      </c>
      <c r="T2" s="3" t="n">
        <v>77500</v>
      </c>
      <c r="U2" s="3" t="n">
        <v>78800</v>
      </c>
      <c r="V2" s="3" t="n">
        <v>83900</v>
      </c>
      <c r="W2" s="3" t="n">
        <v>84200</v>
      </c>
      <c r="X2" s="3" t="n">
        <v>78900</v>
      </c>
      <c r="Y2" s="3" t="n">
        <v>83100</v>
      </c>
      <c r="Z2" s="3" t="n">
        <v>84800</v>
      </c>
      <c r="AA2" s="3" t="n">
        <v>91500</v>
      </c>
      <c r="AB2" s="3" t="n">
        <v>92800</v>
      </c>
      <c r="AC2" s="3" t="n">
        <v>89700</v>
      </c>
      <c r="AD2" s="3" t="n">
        <v>91400</v>
      </c>
      <c r="AE2" s="3" t="n">
        <v>95700</v>
      </c>
      <c r="AF2" s="3" t="n">
        <v>95600</v>
      </c>
      <c r="AG2" s="3" t="n">
        <v>104700</v>
      </c>
    </row>
    <row r="3">
      <c r="A3" t="inlineStr">
        <is>
          <t>Revenue</t>
        </is>
      </c>
      <c r="B3" s="3" t="n">
        <v>8085</v>
      </c>
      <c r="C3" s="3" t="n">
        <v>8156</v>
      </c>
      <c r="D3" s="3" t="n">
        <v>8189</v>
      </c>
      <c r="E3" s="3" t="n">
        <v>8456</v>
      </c>
      <c r="F3" s="3" t="n">
        <v>8475</v>
      </c>
      <c r="G3" s="3" t="n">
        <v>8721</v>
      </c>
      <c r="H3" s="3" t="n">
        <v>8620</v>
      </c>
      <c r="I3" s="3" t="n">
        <v>8884</v>
      </c>
      <c r="J3" s="3" t="n">
        <v>9083</v>
      </c>
      <c r="K3" s="3" t="n">
        <v>10212</v>
      </c>
      <c r="L3" s="3" t="n">
        <v>9157</v>
      </c>
      <c r="M3" s="3" t="n">
        <v>9151</v>
      </c>
      <c r="N3" s="3" t="n">
        <v>8720</v>
      </c>
      <c r="O3" s="3" t="n">
        <v>8639</v>
      </c>
      <c r="P3" s="3" t="n">
        <v>8797</v>
      </c>
      <c r="Q3" s="3" t="n">
        <v>8801</v>
      </c>
      <c r="R3" s="3" t="n">
        <v>8971</v>
      </c>
      <c r="S3" s="3" t="n">
        <v>10033</v>
      </c>
      <c r="T3" s="3" t="n">
        <v>9301</v>
      </c>
      <c r="U3" s="3" t="n">
        <v>9576</v>
      </c>
      <c r="V3" s="3" t="n">
        <v>9775</v>
      </c>
      <c r="W3" s="3" t="n">
        <v>10638</v>
      </c>
      <c r="X3" s="3" t="n">
        <v>10133</v>
      </c>
      <c r="Y3" s="3" t="n">
        <v>10218</v>
      </c>
      <c r="Z3" s="3" t="n">
        <v>9996</v>
      </c>
      <c r="AA3" s="3" t="n">
        <v>10686</v>
      </c>
      <c r="AB3" s="3" t="n">
        <v>9468</v>
      </c>
      <c r="AC3" s="3" t="n">
        <v>10351</v>
      </c>
      <c r="AD3" s="3" t="n">
        <v>10423</v>
      </c>
      <c r="AE3" s="3" t="n">
        <v>11712</v>
      </c>
      <c r="AF3" s="3" t="n">
        <v>9881</v>
      </c>
      <c r="AG3" s="3" t="n">
        <v>10876</v>
      </c>
    </row>
    <row r="4">
      <c r="A4" t="inlineStr">
        <is>
          <t>Implied bookings</t>
        </is>
      </c>
      <c r="C4" s="5">
        <f>C2-B2+C3</f>
        <v/>
      </c>
      <c r="D4" s="5">
        <f>D2-C2+D3</f>
        <v/>
      </c>
      <c r="E4" s="5">
        <f>E2-D2+E3</f>
        <v/>
      </c>
      <c r="F4" s="5">
        <f>F2-E2+F3</f>
        <v/>
      </c>
      <c r="G4" s="5">
        <f>G2-F2+G3</f>
        <v/>
      </c>
      <c r="H4" s="5">
        <f>H2-G2+H3</f>
        <v/>
      </c>
      <c r="I4" s="5">
        <f>I2-H2+I3</f>
        <v/>
      </c>
      <c r="J4" s="5">
        <f>J2-I2+J3</f>
        <v/>
      </c>
      <c r="K4" s="5">
        <f>K2-J2+K3</f>
        <v/>
      </c>
      <c r="L4" s="5">
        <f>L2-K2+L3</f>
        <v/>
      </c>
      <c r="M4" s="5">
        <f>M2-L2+M3</f>
        <v/>
      </c>
      <c r="N4" s="5">
        <f>N2-M2+N3</f>
        <v/>
      </c>
      <c r="O4" s="5">
        <f>O2-N2+O3</f>
        <v/>
      </c>
      <c r="P4" s="5">
        <f>P2-O2+P3</f>
        <v/>
      </c>
      <c r="Q4" s="5">
        <f>Q2-P2+Q3</f>
        <v/>
      </c>
      <c r="R4" s="5">
        <f>R2-Q2+R3</f>
        <v/>
      </c>
      <c r="S4" s="5">
        <f>S2-R2+S3</f>
        <v/>
      </c>
      <c r="T4" s="5">
        <f>T2-S2+T3</f>
        <v/>
      </c>
      <c r="U4" s="5">
        <f>U2-T2+U3</f>
        <v/>
      </c>
      <c r="V4" s="5">
        <f>V2-U2+V3</f>
        <v/>
      </c>
      <c r="W4" s="5">
        <f>W2-V2+W3</f>
        <v/>
      </c>
      <c r="X4" s="5">
        <f>X2-W2+X3</f>
        <v/>
      </c>
      <c r="Y4" s="5">
        <f>Y2-X2+Y3</f>
        <v/>
      </c>
      <c r="Z4" s="5">
        <f>Z2-Y2+Z3</f>
        <v/>
      </c>
      <c r="AA4" s="5">
        <f>AA2-Z2+AA3</f>
        <v/>
      </c>
      <c r="AB4" s="5">
        <f>AB2-AA2+AB3</f>
        <v/>
      </c>
      <c r="AC4" s="5">
        <f>AC2-AB2+AC3</f>
        <v/>
      </c>
      <c r="AD4" s="5">
        <f>AD2-AC2+AD3</f>
        <v/>
      </c>
      <c r="AE4" s="5">
        <f>AE2-AD2+AE3</f>
        <v/>
      </c>
      <c r="AF4" s="5">
        <f>AF2-AE2+AF3</f>
        <v/>
      </c>
      <c r="AG4" s="5">
        <f>AG2-AF2+AG3</f>
        <v/>
      </c>
    </row>
    <row r="5">
      <c r="A5" t="inlineStr">
        <is>
          <t>Book-to-bill</t>
        </is>
      </c>
      <c r="C5" s="6">
        <f>C4/C3</f>
        <v/>
      </c>
      <c r="D5" s="6">
        <f>D4/D3</f>
        <v/>
      </c>
      <c r="E5" s="6">
        <f>E4/E3</f>
        <v/>
      </c>
      <c r="F5" s="6">
        <f>F4/F3</f>
        <v/>
      </c>
      <c r="G5" s="6">
        <f>G4/G3</f>
        <v/>
      </c>
      <c r="H5" s="6">
        <f>H4/H3</f>
        <v/>
      </c>
      <c r="I5" s="6">
        <f>I4/I3</f>
        <v/>
      </c>
      <c r="J5" s="6">
        <f>J4/J3</f>
        <v/>
      </c>
      <c r="K5" s="6">
        <f>K4/K3</f>
        <v/>
      </c>
      <c r="L5" s="6">
        <f>L4/L3</f>
        <v/>
      </c>
      <c r="M5" s="6">
        <f>M4/M3</f>
        <v/>
      </c>
      <c r="N5" s="6">
        <f>N4/N3</f>
        <v/>
      </c>
      <c r="O5" s="6">
        <f>O4/O3</f>
        <v/>
      </c>
      <c r="P5" s="6">
        <f>P4/P3</f>
        <v/>
      </c>
      <c r="Q5" s="6">
        <f>Q4/Q3</f>
        <v/>
      </c>
      <c r="R5" s="6">
        <f>R4/R3</f>
        <v/>
      </c>
      <c r="S5" s="6">
        <f>S4/S3</f>
        <v/>
      </c>
      <c r="T5" s="6">
        <f>T4/T3</f>
        <v/>
      </c>
      <c r="U5" s="6">
        <f>U4/U3</f>
        <v/>
      </c>
      <c r="V5" s="6">
        <f>V4/V3</f>
        <v/>
      </c>
      <c r="W5" s="6">
        <f>W4/W3</f>
        <v/>
      </c>
      <c r="X5" s="6">
        <f>X4/X3</f>
        <v/>
      </c>
      <c r="Y5" s="6">
        <f>Y4/Y3</f>
        <v/>
      </c>
      <c r="Z5" s="6">
        <f>Z4/Z3</f>
        <v/>
      </c>
      <c r="AA5" s="6">
        <f>AA4/AA3</f>
        <v/>
      </c>
      <c r="AB5" s="6">
        <f>AB4/AB3</f>
        <v/>
      </c>
      <c r="AC5" s="6">
        <f>AC4/AC3</f>
        <v/>
      </c>
      <c r="AD5" s="6">
        <f>AD4/AD3</f>
        <v/>
      </c>
      <c r="AE5" s="6">
        <f>AE4/AE3</f>
        <v/>
      </c>
      <c r="AF5" s="6">
        <f>AF4/AF3</f>
        <v/>
      </c>
      <c r="AG5" s="6">
        <f>AG4/AG3</f>
        <v/>
      </c>
    </row>
    <row r="6">
      <c r="A6" t="inlineStr">
        <is>
          <t>Conversion 1Q</t>
        </is>
      </c>
      <c r="B6" s="6">
        <f>C3/B2</f>
        <v/>
      </c>
      <c r="C6" s="6">
        <f>D3/C2</f>
        <v/>
      </c>
      <c r="D6" s="6">
        <f>E3/D2</f>
        <v/>
      </c>
      <c r="E6" s="6">
        <f>F3/E2</f>
        <v/>
      </c>
      <c r="F6" s="6">
        <f>G3/F2</f>
        <v/>
      </c>
      <c r="G6" s="6">
        <f>H3/G2</f>
        <v/>
      </c>
      <c r="H6" s="6">
        <f>I3/H2</f>
        <v/>
      </c>
      <c r="I6" s="6">
        <f>J3/I2</f>
        <v/>
      </c>
      <c r="J6" s="6">
        <f>K3/J2</f>
        <v/>
      </c>
      <c r="K6" s="6">
        <f>L3/K2</f>
        <v/>
      </c>
      <c r="L6" s="6">
        <f>M3/L2</f>
        <v/>
      </c>
      <c r="M6" s="6">
        <f>N3/M2</f>
        <v/>
      </c>
      <c r="N6" s="6">
        <f>O3/N2</f>
        <v/>
      </c>
      <c r="O6" s="6">
        <f>P3/O2</f>
        <v/>
      </c>
      <c r="P6" s="6">
        <f>Q3/P2</f>
        <v/>
      </c>
      <c r="Q6" s="6">
        <f>R3/Q2</f>
        <v/>
      </c>
      <c r="R6" s="6">
        <f>S3/R2</f>
        <v/>
      </c>
      <c r="S6" s="6">
        <f>T3/S2</f>
        <v/>
      </c>
      <c r="T6" s="6">
        <f>U3/T2</f>
        <v/>
      </c>
      <c r="U6" s="6">
        <f>V3/U2</f>
        <v/>
      </c>
      <c r="V6" s="6">
        <f>W3/V2</f>
        <v/>
      </c>
      <c r="W6" s="6">
        <f>X3/W2</f>
        <v/>
      </c>
      <c r="X6" s="6">
        <f>Y3/X2</f>
        <v/>
      </c>
      <c r="Y6" s="6">
        <f>Z3/Y2</f>
        <v/>
      </c>
      <c r="Z6" s="6">
        <f>AA3/Z2</f>
        <v/>
      </c>
      <c r="AA6" s="6">
        <f>AB3/AA2</f>
        <v/>
      </c>
      <c r="AB6" s="6">
        <f>AC3/AB2</f>
        <v/>
      </c>
      <c r="AC6" s="6">
        <f>AD3/AC2</f>
        <v/>
      </c>
      <c r="AD6" s="6">
        <f>AE3/AD2</f>
        <v/>
      </c>
      <c r="AE6" s="6">
        <f>AF3/AE2</f>
        <v/>
      </c>
      <c r="AF6" s="6">
        <f>AG3/AF2</f>
        <v/>
      </c>
    </row>
    <row r="7">
      <c r="A7" t="inlineStr">
        <is>
          <t>Conversion 4Q</t>
        </is>
      </c>
      <c r="B7" s="6">
        <f>SUM(C3:F3)/B2</f>
        <v/>
      </c>
      <c r="C7" s="6">
        <f>SUM(D3:G3)/C2</f>
        <v/>
      </c>
      <c r="D7" s="6">
        <f>SUM(E3:H3)/D2</f>
        <v/>
      </c>
      <c r="E7" s="6">
        <f>SUM(F3:I3)/E2</f>
        <v/>
      </c>
      <c r="F7" s="6">
        <f>SUM(G3:J3)/F2</f>
        <v/>
      </c>
      <c r="G7" s="6">
        <f>SUM(H3:K3)/G2</f>
        <v/>
      </c>
      <c r="H7" s="6">
        <f>SUM(I3:L3)/H2</f>
        <v/>
      </c>
      <c r="I7" s="6">
        <f>SUM(J3:M3)/I2</f>
        <v/>
      </c>
      <c r="J7" s="6">
        <f>SUM(K3:N3)/J2</f>
        <v/>
      </c>
      <c r="K7" s="6">
        <f>SUM(L3:O3)/K2</f>
        <v/>
      </c>
      <c r="L7" s="6">
        <f>SUM(M3:P3)/L2</f>
        <v/>
      </c>
      <c r="M7" s="6">
        <f>SUM(N3:Q3)/M2</f>
        <v/>
      </c>
      <c r="N7" s="6">
        <f>SUM(O3:R3)/N2</f>
        <v/>
      </c>
      <c r="O7" s="6">
        <f>SUM(P3:S3)/O2</f>
        <v/>
      </c>
      <c r="P7" s="6">
        <f>SUM(Q3:T3)/P2</f>
        <v/>
      </c>
      <c r="Q7" s="6">
        <f>SUM(R3:U3)/Q2</f>
        <v/>
      </c>
      <c r="R7" s="6">
        <f>SUM(S3:V3)/R2</f>
        <v/>
      </c>
      <c r="S7" s="6">
        <f>SUM(T3:W3)/S2</f>
        <v/>
      </c>
      <c r="T7" s="6">
        <f>SUM(U3:X3)/T2</f>
        <v/>
      </c>
      <c r="U7" s="6">
        <f>SUM(V3:Y3)/U2</f>
        <v/>
      </c>
      <c r="V7" s="6">
        <f>SUM(W3:Z3)/V2</f>
        <v/>
      </c>
      <c r="W7" s="6">
        <f>SUM(X3:AA3)/W2</f>
        <v/>
      </c>
      <c r="X7" s="6">
        <f>SUM(Y3:AB3)/X2</f>
        <v/>
      </c>
      <c r="Y7" s="6">
        <f>SUM(Z3:AC3)/Y2</f>
        <v/>
      </c>
      <c r="Z7" s="6">
        <f>SUM(AA3:AD3)/Z2</f>
        <v/>
      </c>
      <c r="AA7" s="6">
        <f>SUM(AB3:AE3)/AA2</f>
        <v/>
      </c>
      <c r="AB7" s="6">
        <f>SUM(AC3:AF3)/AB2</f>
        <v/>
      </c>
      <c r="AC7" s="6">
        <f>SUM(AD3:AG3)/AC2</f>
        <v/>
      </c>
    </row>
    <row r="8">
      <c r="A8" t="inlineStr">
        <is>
          <t>H1 backlog forecast</t>
        </is>
      </c>
      <c r="K8" s="5">
        <f>J2*AVERAGE(F6,B6)</f>
        <v/>
      </c>
      <c r="L8" s="5">
        <f>K2*AVERAGE(G6,C6)</f>
        <v/>
      </c>
      <c r="M8" s="5">
        <f>L2*AVERAGE(H6,D6)</f>
        <v/>
      </c>
      <c r="N8" s="5">
        <f>M2*AVERAGE(I6,E6)</f>
        <v/>
      </c>
      <c r="O8" s="5">
        <f>N2*AVERAGE(J6,F6)</f>
        <v/>
      </c>
      <c r="P8" s="5">
        <f>O2*AVERAGE(K6,G6)</f>
        <v/>
      </c>
      <c r="Q8" s="5">
        <f>P2*AVERAGE(L6,H6)</f>
        <v/>
      </c>
      <c r="R8" s="5">
        <f>Q2*AVERAGE(M6,I6)</f>
        <v/>
      </c>
      <c r="S8" s="5">
        <f>R2*AVERAGE(N6,J6)</f>
        <v/>
      </c>
      <c r="T8" s="5">
        <f>S2*AVERAGE(O6,K6)</f>
        <v/>
      </c>
      <c r="U8" s="5">
        <f>T2*AVERAGE(P6,L6)</f>
        <v/>
      </c>
      <c r="V8" s="5">
        <f>U2*AVERAGE(Q6,M6)</f>
        <v/>
      </c>
      <c r="W8" s="5">
        <f>V2*AVERAGE(R6,N6)</f>
        <v/>
      </c>
      <c r="X8" s="5">
        <f>W2*AVERAGE(S6,O6)</f>
        <v/>
      </c>
      <c r="Y8" s="5">
        <f>X2*AVERAGE(T6,P6)</f>
        <v/>
      </c>
      <c r="Z8" s="5">
        <f>Y2*AVERAGE(U6,Q6)</f>
        <v/>
      </c>
      <c r="AA8" s="5">
        <f>Z2*AVERAGE(V6,R6)</f>
        <v/>
      </c>
      <c r="AB8" s="5">
        <f>AA2*AVERAGE(W6,S6)</f>
        <v/>
      </c>
      <c r="AC8" s="5">
        <f>AB2*AVERAGE(X6,T6)</f>
        <v/>
      </c>
      <c r="AD8" s="5">
        <f>AC2*AVERAGE(Y6,U6)</f>
        <v/>
      </c>
      <c r="AE8" s="5">
        <f>AD2*AVERAGE(Z6,V6)</f>
        <v/>
      </c>
      <c r="AF8" s="5">
        <f>AE2*AVERAGE(AA6,W6)</f>
        <v/>
      </c>
      <c r="AG8" s="5">
        <f>AF2*AVERAGE(AB6,X6)</f>
        <v/>
      </c>
    </row>
    <row r="9">
      <c r="A9" t="inlineStr">
        <is>
          <t>H1 seasonal naive</t>
        </is>
      </c>
      <c r="K9" s="5">
        <f>G3</f>
        <v/>
      </c>
      <c r="L9" s="5">
        <f>H3</f>
        <v/>
      </c>
      <c r="M9" s="5">
        <f>I3</f>
        <v/>
      </c>
      <c r="N9" s="5">
        <f>J3</f>
        <v/>
      </c>
      <c r="O9" s="5">
        <f>K3</f>
        <v/>
      </c>
      <c r="P9" s="5">
        <f>L3</f>
        <v/>
      </c>
      <c r="Q9" s="5">
        <f>M3</f>
        <v/>
      </c>
      <c r="R9" s="5">
        <f>N3</f>
        <v/>
      </c>
      <c r="S9" s="5">
        <f>O3</f>
        <v/>
      </c>
      <c r="T9" s="5">
        <f>P3</f>
        <v/>
      </c>
      <c r="U9" s="5">
        <f>Q3</f>
        <v/>
      </c>
      <c r="V9" s="5">
        <f>R3</f>
        <v/>
      </c>
      <c r="W9" s="5">
        <f>S3</f>
        <v/>
      </c>
      <c r="X9" s="5">
        <f>T3</f>
        <v/>
      </c>
      <c r="Y9" s="5">
        <f>U3</f>
        <v/>
      </c>
      <c r="Z9" s="5">
        <f>V3</f>
        <v/>
      </c>
      <c r="AA9" s="5">
        <f>W3</f>
        <v/>
      </c>
      <c r="AB9" s="5">
        <f>X3</f>
        <v/>
      </c>
      <c r="AC9" s="5">
        <f>Y3</f>
        <v/>
      </c>
      <c r="AD9" s="5">
        <f>Z3</f>
        <v/>
      </c>
      <c r="AE9" s="5">
        <f>AA3</f>
        <v/>
      </c>
      <c r="AF9" s="5">
        <f>AB3</f>
        <v/>
      </c>
      <c r="AG9" s="5">
        <f>AC3</f>
        <v/>
      </c>
    </row>
    <row r="10">
      <c r="A10" t="inlineStr">
        <is>
          <t>H1 naive with drift</t>
        </is>
      </c>
      <c r="K10" s="5">
        <f>G3*SUM(G3:J3)/SUM(C3:F3)</f>
        <v/>
      </c>
      <c r="L10" s="5">
        <f>H3*SUM(H3:K3)/SUM(D3:G3)</f>
        <v/>
      </c>
      <c r="M10" s="5">
        <f>I3*SUM(I3:L3)/SUM(E3:H3)</f>
        <v/>
      </c>
      <c r="N10" s="5">
        <f>J3*SUM(J3:M3)/SUM(F3:I3)</f>
        <v/>
      </c>
      <c r="O10" s="5">
        <f>K3*SUM(K3:N3)/SUM(G3:J3)</f>
        <v/>
      </c>
      <c r="P10" s="5">
        <f>L3*SUM(L3:O3)/SUM(H3:K3)</f>
        <v/>
      </c>
      <c r="Q10" s="5">
        <f>M3*SUM(M3:P3)/SUM(I3:L3)</f>
        <v/>
      </c>
      <c r="R10" s="5">
        <f>N3*SUM(N3:Q3)/SUM(J3:M3)</f>
        <v/>
      </c>
      <c r="S10" s="5">
        <f>O3*SUM(O3:R3)/SUM(K3:N3)</f>
        <v/>
      </c>
      <c r="T10" s="5">
        <f>P3*SUM(P3:S3)/SUM(L3:O3)</f>
        <v/>
      </c>
      <c r="U10" s="5">
        <f>Q3*SUM(Q3:T3)/SUM(M3:P3)</f>
        <v/>
      </c>
      <c r="V10" s="5">
        <f>R3*SUM(R3:U3)/SUM(N3:Q3)</f>
        <v/>
      </c>
      <c r="W10" s="5">
        <f>S3*SUM(S3:V3)/SUM(O3:R3)</f>
        <v/>
      </c>
      <c r="X10" s="5">
        <f>T3*SUM(T3:W3)/SUM(P3:S3)</f>
        <v/>
      </c>
      <c r="Y10" s="5">
        <f>U3*SUM(U3:X3)/SUM(Q3:T3)</f>
        <v/>
      </c>
      <c r="Z10" s="5">
        <f>V3*SUM(V3:Y3)/SUM(R3:U3)</f>
        <v/>
      </c>
      <c r="AA10" s="5">
        <f>W3*SUM(W3:Z3)/SUM(S3:V3)</f>
        <v/>
      </c>
      <c r="AB10" s="5">
        <f>X3*SUM(X3:AA3)/SUM(T3:W3)</f>
        <v/>
      </c>
      <c r="AC10" s="5">
        <f>Y3*SUM(Y3:AB3)/SUM(U3:X3)</f>
        <v/>
      </c>
      <c r="AD10" s="5">
        <f>Z3*SUM(Z3:AC3)/SUM(V3:Y3)</f>
        <v/>
      </c>
      <c r="AE10" s="5">
        <f>AA3*SUM(AA3:AD3)/SUM(W3:Z3)</f>
        <v/>
      </c>
      <c r="AF10" s="5">
        <f>AB3*SUM(AB3:AE3)/SUM(X3:AA3)</f>
        <v/>
      </c>
      <c r="AG10" s="5">
        <f>AC3*SUM(AC3:AF3)/SUM(Y3:AB3)</f>
        <v/>
      </c>
    </row>
    <row r="11">
      <c r="A11" t="inlineStr">
        <is>
          <t>H1 backlog APE %</t>
        </is>
      </c>
      <c r="K11" s="7">
        <f>ABS(K3-K8)/K3*100</f>
        <v/>
      </c>
      <c r="L11" s="7">
        <f>ABS(L3-L8)/L3*100</f>
        <v/>
      </c>
      <c r="M11" s="7">
        <f>ABS(M3-M8)/M3*100</f>
        <v/>
      </c>
      <c r="N11" s="7">
        <f>ABS(N3-N8)/N3*100</f>
        <v/>
      </c>
      <c r="O11" s="7">
        <f>ABS(O3-O8)/O3*100</f>
        <v/>
      </c>
      <c r="P11" s="7">
        <f>ABS(P3-P8)/P3*100</f>
        <v/>
      </c>
      <c r="Q11" s="7">
        <f>ABS(Q3-Q8)/Q3*100</f>
        <v/>
      </c>
      <c r="R11" s="7">
        <f>ABS(R3-R8)/R3*100</f>
        <v/>
      </c>
      <c r="S11" s="7">
        <f>ABS(S3-S8)/S3*100</f>
        <v/>
      </c>
      <c r="T11" s="7">
        <f>ABS(T3-T8)/T3*100</f>
        <v/>
      </c>
      <c r="U11" s="7">
        <f>ABS(U3-U8)/U3*100</f>
        <v/>
      </c>
      <c r="V11" s="7">
        <f>ABS(V3-V8)/V3*100</f>
        <v/>
      </c>
      <c r="W11" s="7">
        <f>ABS(W3-W8)/W3*100</f>
        <v/>
      </c>
      <c r="X11" s="7">
        <f>ABS(X3-X8)/X3*100</f>
        <v/>
      </c>
      <c r="Y11" s="7">
        <f>ABS(Y3-Y8)/Y3*100</f>
        <v/>
      </c>
      <c r="Z11" s="7">
        <f>ABS(Z3-Z8)/Z3*100</f>
        <v/>
      </c>
      <c r="AA11" s="7">
        <f>ABS(AA3-AA8)/AA3*100</f>
        <v/>
      </c>
      <c r="AB11" s="7">
        <f>ABS(AB3-AB8)/AB3*100</f>
        <v/>
      </c>
      <c r="AC11" s="7">
        <f>ABS(AC3-AC8)/AC3*100</f>
        <v/>
      </c>
      <c r="AD11" s="7">
        <f>ABS(AD3-AD8)/AD3*100</f>
        <v/>
      </c>
      <c r="AE11" s="7">
        <f>ABS(AE3-AE8)/AE3*100</f>
        <v/>
      </c>
      <c r="AF11" s="7">
        <f>ABS(AF3-AF8)/AF3*100</f>
        <v/>
      </c>
      <c r="AG11" s="7">
        <f>ABS(AG3-AG8)/AG3*100</f>
        <v/>
      </c>
    </row>
    <row r="12">
      <c r="A12" t="inlineStr">
        <is>
          <t>H1 seasonal naive APE %</t>
        </is>
      </c>
      <c r="K12" s="7">
        <f>ABS(K3-K9)/K3*100</f>
        <v/>
      </c>
      <c r="L12" s="7">
        <f>ABS(L3-L9)/L3*100</f>
        <v/>
      </c>
      <c r="M12" s="7">
        <f>ABS(M3-M9)/M3*100</f>
        <v/>
      </c>
      <c r="N12" s="7">
        <f>ABS(N3-N9)/N3*100</f>
        <v/>
      </c>
      <c r="O12" s="7">
        <f>ABS(O3-O9)/O3*100</f>
        <v/>
      </c>
      <c r="P12" s="7">
        <f>ABS(P3-P9)/P3*100</f>
        <v/>
      </c>
      <c r="Q12" s="7">
        <f>ABS(Q3-Q9)/Q3*100</f>
        <v/>
      </c>
      <c r="R12" s="7">
        <f>ABS(R3-R9)/R3*100</f>
        <v/>
      </c>
      <c r="S12" s="7">
        <f>ABS(S3-S9)/S3*100</f>
        <v/>
      </c>
      <c r="T12" s="7">
        <f>ABS(T3-T9)/T3*100</f>
        <v/>
      </c>
      <c r="U12" s="7">
        <f>ABS(U3-U9)/U3*100</f>
        <v/>
      </c>
      <c r="V12" s="7">
        <f>ABS(V3-V9)/V3*100</f>
        <v/>
      </c>
      <c r="W12" s="7">
        <f>ABS(W3-W9)/W3*100</f>
        <v/>
      </c>
      <c r="X12" s="7">
        <f>ABS(X3-X9)/X3*100</f>
        <v/>
      </c>
      <c r="Y12" s="7">
        <f>ABS(Y3-Y9)/Y3*100</f>
        <v/>
      </c>
      <c r="Z12" s="7">
        <f>ABS(Z3-Z9)/Z3*100</f>
        <v/>
      </c>
      <c r="AA12" s="7">
        <f>ABS(AA3-AA9)/AA3*100</f>
        <v/>
      </c>
      <c r="AB12" s="7">
        <f>ABS(AB3-AB9)/AB3*100</f>
        <v/>
      </c>
      <c r="AC12" s="7">
        <f>ABS(AC3-AC9)/AC3*100</f>
        <v/>
      </c>
      <c r="AD12" s="7">
        <f>ABS(AD3-AD9)/AD3*100</f>
        <v/>
      </c>
      <c r="AE12" s="7">
        <f>ABS(AE3-AE9)/AE3*100</f>
        <v/>
      </c>
      <c r="AF12" s="7">
        <f>ABS(AF3-AF9)/AF3*100</f>
        <v/>
      </c>
      <c r="AG12" s="7">
        <f>ABS(AG3-AG9)/AG3*100</f>
        <v/>
      </c>
    </row>
    <row r="13">
      <c r="A13" t="inlineStr">
        <is>
          <t>H1 naive with drift APE %</t>
        </is>
      </c>
      <c r="K13" s="7">
        <f>ABS(K3-K10)/K3*100</f>
        <v/>
      </c>
      <c r="L13" s="7">
        <f>ABS(L3-L10)/L3*100</f>
        <v/>
      </c>
      <c r="M13" s="7">
        <f>ABS(M3-M10)/M3*100</f>
        <v/>
      </c>
      <c r="N13" s="7">
        <f>ABS(N3-N10)/N3*100</f>
        <v/>
      </c>
      <c r="O13" s="7">
        <f>ABS(O3-O10)/O3*100</f>
        <v/>
      </c>
      <c r="P13" s="7">
        <f>ABS(P3-P10)/P3*100</f>
        <v/>
      </c>
      <c r="Q13" s="7">
        <f>ABS(Q3-Q10)/Q3*100</f>
        <v/>
      </c>
      <c r="R13" s="7">
        <f>ABS(R3-R10)/R3*100</f>
        <v/>
      </c>
      <c r="S13" s="7">
        <f>ABS(S3-S10)/S3*100</f>
        <v/>
      </c>
      <c r="T13" s="7">
        <f>ABS(T3-T10)/T3*100</f>
        <v/>
      </c>
      <c r="U13" s="7">
        <f>ABS(U3-U10)/U3*100</f>
        <v/>
      </c>
      <c r="V13" s="7">
        <f>ABS(V3-V10)/V3*100</f>
        <v/>
      </c>
      <c r="W13" s="7">
        <f>ABS(W3-W10)/W3*100</f>
        <v/>
      </c>
      <c r="X13" s="7">
        <f>ABS(X3-X10)/X3*100</f>
        <v/>
      </c>
      <c r="Y13" s="7">
        <f>ABS(Y3-Y10)/Y3*100</f>
        <v/>
      </c>
      <c r="Z13" s="7">
        <f>ABS(Z3-Z10)/Z3*100</f>
        <v/>
      </c>
      <c r="AA13" s="7">
        <f>ABS(AA3-AA10)/AA3*100</f>
        <v/>
      </c>
      <c r="AB13" s="7">
        <f>ABS(AB3-AB10)/AB3*100</f>
        <v/>
      </c>
      <c r="AC13" s="7">
        <f>ABS(AC3-AC10)/AC3*100</f>
        <v/>
      </c>
      <c r="AD13" s="7">
        <f>ABS(AD3-AD10)/AD3*100</f>
        <v/>
      </c>
      <c r="AE13" s="7">
        <f>ABS(AE3-AE10)/AE3*100</f>
        <v/>
      </c>
      <c r="AF13" s="7">
        <f>ABS(AF3-AF10)/AF3*100</f>
        <v/>
      </c>
      <c r="AG13" s="7">
        <f>ABS(AG3-AG10)/AG3*100</f>
        <v/>
      </c>
    </row>
    <row r="14">
      <c r="A14" t="inlineStr">
        <is>
          <t>H4 actual</t>
        </is>
      </c>
      <c r="J14" s="5">
        <f>SUM(K3:N3)</f>
        <v/>
      </c>
      <c r="K14" s="5">
        <f>SUM(L3:O3)</f>
        <v/>
      </c>
      <c r="L14" s="5">
        <f>SUM(M3:P3)</f>
        <v/>
      </c>
      <c r="M14" s="5">
        <f>SUM(N3:Q3)</f>
        <v/>
      </c>
      <c r="N14" s="5">
        <f>SUM(O3:R3)</f>
        <v/>
      </c>
      <c r="O14" s="5">
        <f>SUM(P3:S3)</f>
        <v/>
      </c>
      <c r="P14" s="5">
        <f>SUM(Q3:T3)</f>
        <v/>
      </c>
      <c r="Q14" s="5">
        <f>SUM(R3:U3)</f>
        <v/>
      </c>
      <c r="R14" s="5">
        <f>SUM(S3:V3)</f>
        <v/>
      </c>
      <c r="S14" s="5">
        <f>SUM(T3:W3)</f>
        <v/>
      </c>
      <c r="T14" s="5">
        <f>SUM(U3:X3)</f>
        <v/>
      </c>
      <c r="U14" s="5">
        <f>SUM(V3:Y3)</f>
        <v/>
      </c>
      <c r="V14" s="5">
        <f>SUM(W3:Z3)</f>
        <v/>
      </c>
      <c r="W14" s="5">
        <f>SUM(X3:AA3)</f>
        <v/>
      </c>
      <c r="X14" s="5">
        <f>SUM(Y3:AB3)</f>
        <v/>
      </c>
      <c r="Y14" s="5">
        <f>SUM(Z3:AC3)</f>
        <v/>
      </c>
      <c r="Z14" s="5">
        <f>SUM(AA3:AD3)</f>
        <v/>
      </c>
      <c r="AA14" s="5">
        <f>SUM(AB3:AE3)</f>
        <v/>
      </c>
      <c r="AB14" s="5">
        <f>SUM(AC3:AF3)</f>
        <v/>
      </c>
      <c r="AC14" s="5">
        <f>SUM(AD3:AG3)</f>
        <v/>
      </c>
    </row>
    <row r="15">
      <c r="A15" t="inlineStr">
        <is>
          <t>H4 backlog forecast</t>
        </is>
      </c>
      <c r="J15" s="5">
        <f>J2*AVERAGE(C7:F7)</f>
        <v/>
      </c>
      <c r="K15" s="5">
        <f>K2*AVERAGE(D7:G7)</f>
        <v/>
      </c>
      <c r="L15" s="5">
        <f>L2*AVERAGE(E7:H7)</f>
        <v/>
      </c>
      <c r="M15" s="5">
        <f>M2*AVERAGE(F7:I7)</f>
        <v/>
      </c>
      <c r="N15" s="5">
        <f>N2*AVERAGE(G7:J7)</f>
        <v/>
      </c>
      <c r="O15" s="5">
        <f>O2*AVERAGE(H7:K7)</f>
        <v/>
      </c>
      <c r="P15" s="5">
        <f>P2*AVERAGE(I7:L7)</f>
        <v/>
      </c>
      <c r="Q15" s="5">
        <f>Q2*AVERAGE(J7:M7)</f>
        <v/>
      </c>
      <c r="R15" s="5">
        <f>R2*AVERAGE(K7:N7)</f>
        <v/>
      </c>
      <c r="S15" s="5">
        <f>S2*AVERAGE(L7:O7)</f>
        <v/>
      </c>
      <c r="T15" s="5">
        <f>T2*AVERAGE(M7:P7)</f>
        <v/>
      </c>
      <c r="U15" s="5">
        <f>U2*AVERAGE(N7:Q7)</f>
        <v/>
      </c>
      <c r="V15" s="5">
        <f>V2*AVERAGE(O7:R7)</f>
        <v/>
      </c>
      <c r="W15" s="5">
        <f>W2*AVERAGE(P7:S7)</f>
        <v/>
      </c>
      <c r="X15" s="5">
        <f>X2*AVERAGE(Q7:T7)</f>
        <v/>
      </c>
      <c r="Y15" s="5">
        <f>Y2*AVERAGE(R7:U7)</f>
        <v/>
      </c>
      <c r="Z15" s="5">
        <f>Z2*AVERAGE(S7:V7)</f>
        <v/>
      </c>
      <c r="AA15" s="5">
        <f>AA2*AVERAGE(T7:W7)</f>
        <v/>
      </c>
      <c r="AB15" s="5">
        <f>AB2*AVERAGE(U7:X7)</f>
        <v/>
      </c>
      <c r="AC15" s="5">
        <f>AC2*AVERAGE(V7:Y7)</f>
        <v/>
      </c>
    </row>
    <row r="16">
      <c r="A16" t="inlineStr">
        <is>
          <t>H4 trailing 4Q</t>
        </is>
      </c>
      <c r="J16" s="5">
        <f>SUM(G3:J3)</f>
        <v/>
      </c>
      <c r="K16" s="5">
        <f>SUM(H3:K3)</f>
        <v/>
      </c>
      <c r="L16" s="5">
        <f>SUM(I3:L3)</f>
        <v/>
      </c>
      <c r="M16" s="5">
        <f>SUM(J3:M3)</f>
        <v/>
      </c>
      <c r="N16" s="5">
        <f>SUM(K3:N3)</f>
        <v/>
      </c>
      <c r="O16" s="5">
        <f>SUM(L3:O3)</f>
        <v/>
      </c>
      <c r="P16" s="5">
        <f>SUM(M3:P3)</f>
        <v/>
      </c>
      <c r="Q16" s="5">
        <f>SUM(N3:Q3)</f>
        <v/>
      </c>
      <c r="R16" s="5">
        <f>SUM(O3:R3)</f>
        <v/>
      </c>
      <c r="S16" s="5">
        <f>SUM(P3:S3)</f>
        <v/>
      </c>
      <c r="T16" s="5">
        <f>SUM(Q3:T3)</f>
        <v/>
      </c>
      <c r="U16" s="5">
        <f>SUM(R3:U3)</f>
        <v/>
      </c>
      <c r="V16" s="5">
        <f>SUM(S3:V3)</f>
        <v/>
      </c>
      <c r="W16" s="5">
        <f>SUM(T3:W3)</f>
        <v/>
      </c>
      <c r="X16" s="5">
        <f>SUM(U3:X3)</f>
        <v/>
      </c>
      <c r="Y16" s="5">
        <f>SUM(V3:Y3)</f>
        <v/>
      </c>
      <c r="Z16" s="5">
        <f>SUM(W3:Z3)</f>
        <v/>
      </c>
      <c r="AA16" s="5">
        <f>SUM(X3:AA3)</f>
        <v/>
      </c>
      <c r="AB16" s="5">
        <f>SUM(Y3:AB3)</f>
        <v/>
      </c>
      <c r="AC16" s="5">
        <f>SUM(Z3:AC3)</f>
        <v/>
      </c>
    </row>
    <row r="17">
      <c r="A17" t="inlineStr">
        <is>
          <t>H4 trailing 4Q with drift</t>
        </is>
      </c>
      <c r="J17" s="5">
        <f>SUM(G3:J3)^2/SUM(C3:F3)</f>
        <v/>
      </c>
      <c r="K17" s="5">
        <f>SUM(H3:K3)^2/SUM(D3:G3)</f>
        <v/>
      </c>
      <c r="L17" s="5">
        <f>SUM(I3:L3)^2/SUM(E3:H3)</f>
        <v/>
      </c>
      <c r="M17" s="5">
        <f>SUM(J3:M3)^2/SUM(F3:I3)</f>
        <v/>
      </c>
      <c r="N17" s="5">
        <f>SUM(K3:N3)^2/SUM(G3:J3)</f>
        <v/>
      </c>
      <c r="O17" s="5">
        <f>SUM(L3:O3)^2/SUM(H3:K3)</f>
        <v/>
      </c>
      <c r="P17" s="5">
        <f>SUM(M3:P3)^2/SUM(I3:L3)</f>
        <v/>
      </c>
      <c r="Q17" s="5">
        <f>SUM(N3:Q3)^2/SUM(J3:M3)</f>
        <v/>
      </c>
      <c r="R17" s="5">
        <f>SUM(O3:R3)^2/SUM(K3:N3)</f>
        <v/>
      </c>
      <c r="S17" s="5">
        <f>SUM(P3:S3)^2/SUM(L3:O3)</f>
        <v/>
      </c>
      <c r="T17" s="5">
        <f>SUM(Q3:T3)^2/SUM(M3:P3)</f>
        <v/>
      </c>
      <c r="U17" s="5">
        <f>SUM(R3:U3)^2/SUM(N3:Q3)</f>
        <v/>
      </c>
      <c r="V17" s="5">
        <f>SUM(S3:V3)^2/SUM(O3:R3)</f>
        <v/>
      </c>
      <c r="W17" s="5">
        <f>SUM(T3:W3)^2/SUM(P3:S3)</f>
        <v/>
      </c>
      <c r="X17" s="5">
        <f>SUM(U3:X3)^2/SUM(Q3:T3)</f>
        <v/>
      </c>
      <c r="Y17" s="5">
        <f>SUM(V3:Y3)^2/SUM(R3:U3)</f>
        <v/>
      </c>
      <c r="Z17" s="5">
        <f>SUM(W3:Z3)^2/SUM(S3:V3)</f>
        <v/>
      </c>
      <c r="AA17" s="5">
        <f>SUM(X3:AA3)^2/SUM(T3:W3)</f>
        <v/>
      </c>
      <c r="AB17" s="5">
        <f>SUM(Y3:AB3)^2/SUM(U3:X3)</f>
        <v/>
      </c>
      <c r="AC17" s="5">
        <f>SUM(Z3:AC3)^2/SUM(V3:Y3)</f>
        <v/>
      </c>
    </row>
    <row r="18">
      <c r="A18" t="inlineStr">
        <is>
          <t>H4 backlog APE %</t>
        </is>
      </c>
      <c r="J18" s="7">
        <f>ABS(J14-J15)/J14*100</f>
        <v/>
      </c>
      <c r="K18" s="7">
        <f>ABS(K14-K15)/K14*100</f>
        <v/>
      </c>
      <c r="L18" s="7">
        <f>ABS(L14-L15)/L14*100</f>
        <v/>
      </c>
      <c r="M18" s="7">
        <f>ABS(M14-M15)/M14*100</f>
        <v/>
      </c>
      <c r="N18" s="7">
        <f>ABS(N14-N15)/N14*100</f>
        <v/>
      </c>
      <c r="O18" s="7">
        <f>ABS(O14-O15)/O14*100</f>
        <v/>
      </c>
      <c r="P18" s="7">
        <f>ABS(P14-P15)/P14*100</f>
        <v/>
      </c>
      <c r="Q18" s="7">
        <f>ABS(Q14-Q15)/Q14*100</f>
        <v/>
      </c>
      <c r="R18" s="7">
        <f>ABS(R14-R15)/R14*100</f>
        <v/>
      </c>
      <c r="S18" s="7">
        <f>ABS(S14-S15)/S14*100</f>
        <v/>
      </c>
      <c r="T18" s="7">
        <f>ABS(T14-T15)/T14*100</f>
        <v/>
      </c>
      <c r="U18" s="7">
        <f>ABS(U14-U15)/U14*100</f>
        <v/>
      </c>
      <c r="V18" s="7">
        <f>ABS(V14-V15)/V14*100</f>
        <v/>
      </c>
      <c r="W18" s="7">
        <f>ABS(W14-W15)/W14*100</f>
        <v/>
      </c>
      <c r="X18" s="7">
        <f>ABS(X14-X15)/X14*100</f>
        <v/>
      </c>
      <c r="Y18" s="7">
        <f>ABS(Y14-Y15)/Y14*100</f>
        <v/>
      </c>
      <c r="Z18" s="7">
        <f>ABS(Z14-Z15)/Z14*100</f>
        <v/>
      </c>
      <c r="AA18" s="7">
        <f>ABS(AA14-AA15)/AA14*100</f>
        <v/>
      </c>
      <c r="AB18" s="7">
        <f>ABS(AB14-AB15)/AB14*100</f>
        <v/>
      </c>
      <c r="AC18" s="7">
        <f>ABS(AC14-AC15)/AC14*100</f>
        <v/>
      </c>
    </row>
    <row r="19">
      <c r="A19" t="inlineStr">
        <is>
          <t>H4 trailing 4Q APE %</t>
        </is>
      </c>
      <c r="J19" s="7">
        <f>ABS(J14-J16)/J14*100</f>
        <v/>
      </c>
      <c r="K19" s="7">
        <f>ABS(K14-K16)/K14*100</f>
        <v/>
      </c>
      <c r="L19" s="7">
        <f>ABS(L14-L16)/L14*100</f>
        <v/>
      </c>
      <c r="M19" s="7">
        <f>ABS(M14-M16)/M14*100</f>
        <v/>
      </c>
      <c r="N19" s="7">
        <f>ABS(N14-N16)/N14*100</f>
        <v/>
      </c>
      <c r="O19" s="7">
        <f>ABS(O14-O16)/O14*100</f>
        <v/>
      </c>
      <c r="P19" s="7">
        <f>ABS(P14-P16)/P14*100</f>
        <v/>
      </c>
      <c r="Q19" s="7">
        <f>ABS(Q14-Q16)/Q14*100</f>
        <v/>
      </c>
      <c r="R19" s="7">
        <f>ABS(R14-R16)/R14*100</f>
        <v/>
      </c>
      <c r="S19" s="7">
        <f>ABS(S14-S16)/S14*100</f>
        <v/>
      </c>
      <c r="T19" s="7">
        <f>ABS(T14-T16)/T14*100</f>
        <v/>
      </c>
      <c r="U19" s="7">
        <f>ABS(U14-U16)/U14*100</f>
        <v/>
      </c>
      <c r="V19" s="7">
        <f>ABS(V14-V16)/V14*100</f>
        <v/>
      </c>
      <c r="W19" s="7">
        <f>ABS(W14-W16)/W14*100</f>
        <v/>
      </c>
      <c r="X19" s="7">
        <f>ABS(X14-X16)/X14*100</f>
        <v/>
      </c>
      <c r="Y19" s="7">
        <f>ABS(Y14-Y16)/Y14*100</f>
        <v/>
      </c>
      <c r="Z19" s="7">
        <f>ABS(Z14-Z16)/Z14*100</f>
        <v/>
      </c>
      <c r="AA19" s="7">
        <f>ABS(AA14-AA16)/AA14*100</f>
        <v/>
      </c>
      <c r="AB19" s="7">
        <f>ABS(AB14-AB16)/AB14*100</f>
        <v/>
      </c>
      <c r="AC19" s="7">
        <f>ABS(AC14-AC16)/AC14*100</f>
        <v/>
      </c>
    </row>
    <row r="20">
      <c r="A20" t="inlineStr">
        <is>
          <t>H4 trailing 4Q with drift APE %</t>
        </is>
      </c>
      <c r="J20" s="7">
        <f>ABS(J14-J17)/J14*100</f>
        <v/>
      </c>
      <c r="K20" s="7">
        <f>ABS(K14-K17)/K14*100</f>
        <v/>
      </c>
      <c r="L20" s="7">
        <f>ABS(L14-L17)/L14*100</f>
        <v/>
      </c>
      <c r="M20" s="7">
        <f>ABS(M14-M17)/M14*100</f>
        <v/>
      </c>
      <c r="N20" s="7">
        <f>ABS(N14-N17)/N14*100</f>
        <v/>
      </c>
      <c r="O20" s="7">
        <f>ABS(O14-O17)/O14*100</f>
        <v/>
      </c>
      <c r="P20" s="7">
        <f>ABS(P14-P17)/P14*100</f>
        <v/>
      </c>
      <c r="Q20" s="7">
        <f>ABS(Q14-Q17)/Q14*100</f>
        <v/>
      </c>
      <c r="R20" s="7">
        <f>ABS(R14-R17)/R14*100</f>
        <v/>
      </c>
      <c r="S20" s="7">
        <f>ABS(S14-S17)/S14*100</f>
        <v/>
      </c>
      <c r="T20" s="7">
        <f>ABS(T14-T17)/T14*100</f>
        <v/>
      </c>
      <c r="U20" s="7">
        <f>ABS(U14-U17)/U14*100</f>
        <v/>
      </c>
      <c r="V20" s="7">
        <f>ABS(V14-V17)/V14*100</f>
        <v/>
      </c>
      <c r="W20" s="7">
        <f>ABS(W14-W17)/W14*100</f>
        <v/>
      </c>
      <c r="X20" s="7">
        <f>ABS(X14-X17)/X14*100</f>
        <v/>
      </c>
      <c r="Y20" s="7">
        <f>ABS(Y14-Y17)/Y14*100</f>
        <v/>
      </c>
      <c r="Z20" s="7">
        <f>ABS(Z14-Z17)/Z14*100</f>
        <v/>
      </c>
      <c r="AA20" s="7">
        <f>ABS(AA14-AA17)/AA14*100</f>
        <v/>
      </c>
      <c r="AB20" s="7">
        <f>ABS(AB14-AB17)/AB14*100</f>
        <v/>
      </c>
      <c r="AC20" s="7">
        <f>ABS(AC14-AC17)/AC14*100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Quarter</t>
        </is>
      </c>
      <c r="B1" s="4" t="inlineStr">
        <is>
          <t>2020Q2</t>
        </is>
      </c>
      <c r="C1" s="4" t="inlineStr">
        <is>
          <t>2020Q3</t>
        </is>
      </c>
      <c r="D1" s="4" t="inlineStr">
        <is>
          <t>2020Q4</t>
        </is>
      </c>
      <c r="E1" s="4" t="inlineStr">
        <is>
          <t>2021Q1</t>
        </is>
      </c>
      <c r="F1" s="4" t="inlineStr">
        <is>
          <t>2021Q2</t>
        </is>
      </c>
      <c r="G1" s="4" t="inlineStr">
        <is>
          <t>2021Q3</t>
        </is>
      </c>
      <c r="H1" s="4" t="inlineStr">
        <is>
          <t>2021Q4</t>
        </is>
      </c>
      <c r="I1" s="4" t="inlineStr">
        <is>
          <t>2022Q1</t>
        </is>
      </c>
      <c r="J1" s="4" t="inlineStr">
        <is>
          <t>2022Q2</t>
        </is>
      </c>
      <c r="K1" s="4" t="inlineStr">
        <is>
          <t>2022Q3</t>
        </is>
      </c>
      <c r="L1" s="4" t="inlineStr">
        <is>
          <t>2022Q4</t>
        </is>
      </c>
      <c r="M1" s="4" t="inlineStr">
        <is>
          <t>2023Q1</t>
        </is>
      </c>
      <c r="N1" s="4" t="inlineStr">
        <is>
          <t>2023Q2</t>
        </is>
      </c>
      <c r="O1" s="4" t="inlineStr">
        <is>
          <t>2023Q3</t>
        </is>
      </c>
      <c r="P1" s="4" t="inlineStr">
        <is>
          <t>2023Q4</t>
        </is>
      </c>
      <c r="Q1" s="4" t="inlineStr">
        <is>
          <t>2024Q1</t>
        </is>
      </c>
      <c r="R1" s="4" t="inlineStr">
        <is>
          <t>2024Q2</t>
        </is>
      </c>
      <c r="S1" s="4" t="inlineStr">
        <is>
          <t>2024Q3</t>
        </is>
      </c>
      <c r="T1" s="4" t="inlineStr">
        <is>
          <t>2024Q4</t>
        </is>
      </c>
      <c r="U1" s="4" t="inlineStr">
        <is>
          <t>2025Q1</t>
        </is>
      </c>
      <c r="V1" s="4" t="inlineStr">
        <is>
          <t>2025Q2</t>
        </is>
      </c>
      <c r="W1" s="4" t="inlineStr">
        <is>
          <t>2025Q3</t>
        </is>
      </c>
      <c r="X1" s="4" t="inlineStr">
        <is>
          <t>2025Q4</t>
        </is>
      </c>
      <c r="Y1" s="4" t="inlineStr">
        <is>
          <t>2026Q1</t>
        </is>
      </c>
      <c r="Z1" s="4" t="inlineStr">
        <is>
          <t>2026Q2</t>
        </is>
      </c>
    </row>
    <row r="2">
      <c r="A2" t="inlineStr">
        <is>
          <t>Backlog (RPO)</t>
        </is>
      </c>
      <c r="B2" s="3" t="n">
        <v>158700</v>
      </c>
      <c r="C2" s="3" t="n">
        <v>152300</v>
      </c>
      <c r="D2" s="3" t="n">
        <v>150100</v>
      </c>
      <c r="E2" s="3" t="n">
        <v>147400</v>
      </c>
      <c r="F2" s="3" t="n">
        <v>151800</v>
      </c>
      <c r="G2" s="3" t="n">
        <v>156100</v>
      </c>
      <c r="H2" s="3" t="n">
        <v>156000</v>
      </c>
      <c r="I2" s="3" t="n">
        <v>154000</v>
      </c>
      <c r="J2" s="3" t="n">
        <v>161000</v>
      </c>
      <c r="K2" s="3" t="n">
        <v>168000</v>
      </c>
      <c r="L2" s="3" t="n">
        <v>175000</v>
      </c>
      <c r="M2" s="3" t="n">
        <v>180000</v>
      </c>
      <c r="N2" s="3" t="n">
        <v>185000</v>
      </c>
      <c r="O2" s="3" t="n">
        <v>190000</v>
      </c>
      <c r="P2" s="3" t="n">
        <v>196000</v>
      </c>
      <c r="Q2" s="3" t="n">
        <v>202000</v>
      </c>
      <c r="R2" s="3" t="n">
        <v>206000</v>
      </c>
      <c r="S2" s="3" t="n">
        <v>221000</v>
      </c>
      <c r="T2" s="3" t="n">
        <v>218000</v>
      </c>
      <c r="U2" s="3" t="n">
        <v>217000</v>
      </c>
      <c r="V2" s="3" t="n">
        <v>236000</v>
      </c>
      <c r="W2" s="3" t="n">
        <v>251000</v>
      </c>
      <c r="X2" s="3" t="n">
        <v>268000</v>
      </c>
      <c r="Y2" s="3" t="n">
        <v>271000</v>
      </c>
      <c r="Z2" s="3" t="n">
        <v>289000</v>
      </c>
    </row>
    <row r="3">
      <c r="A3" t="inlineStr">
        <is>
          <t>Revenue</t>
        </is>
      </c>
      <c r="B3" s="3" t="n">
        <v>14061</v>
      </c>
      <c r="C3" s="3" t="n">
        <v>14747</v>
      </c>
      <c r="D3" s="3" t="n">
        <v>16419</v>
      </c>
      <c r="E3" s="3" t="n">
        <v>15251</v>
      </c>
      <c r="F3" s="3" t="n">
        <v>15880</v>
      </c>
      <c r="G3" s="3" t="n">
        <v>16213</v>
      </c>
      <c r="H3" s="3" t="n">
        <v>17044</v>
      </c>
      <c r="I3" s="3" t="n">
        <v>15716</v>
      </c>
      <c r="J3" s="3" t="n">
        <v>16314</v>
      </c>
      <c r="K3" s="3" t="n">
        <v>16951</v>
      </c>
      <c r="L3" s="3" t="n">
        <v>18093</v>
      </c>
      <c r="M3" s="3" t="n">
        <v>17214</v>
      </c>
      <c r="N3" s="3" t="n">
        <v>18315</v>
      </c>
      <c r="O3" s="3" t="n">
        <v>13464</v>
      </c>
      <c r="P3" s="3" t="n">
        <v>19927</v>
      </c>
      <c r="Q3" s="3" t="n">
        <v>19305</v>
      </c>
      <c r="R3" s="3" t="n">
        <v>19721</v>
      </c>
      <c r="S3" s="3" t="n">
        <v>20089</v>
      </c>
      <c r="T3" s="3" t="n">
        <v>21623</v>
      </c>
      <c r="U3" s="3" t="n">
        <v>20306</v>
      </c>
      <c r="V3" s="3" t="n">
        <v>21581</v>
      </c>
      <c r="W3" s="3" t="n">
        <v>22478</v>
      </c>
      <c r="X3" s="3" t="n">
        <v>24238</v>
      </c>
      <c r="Y3" s="3" t="n">
        <v>22076</v>
      </c>
      <c r="Z3" s="3" t="n">
        <v>24708</v>
      </c>
    </row>
    <row r="4">
      <c r="A4" t="inlineStr">
        <is>
          <t>Implied bookings</t>
        </is>
      </c>
      <c r="C4" s="5">
        <f>C2-B2+C3</f>
        <v/>
      </c>
      <c r="D4" s="5">
        <f>D2-C2+D3</f>
        <v/>
      </c>
      <c r="E4" s="5">
        <f>E2-D2+E3</f>
        <v/>
      </c>
      <c r="F4" s="5">
        <f>F2-E2+F3</f>
        <v/>
      </c>
      <c r="G4" s="5">
        <f>G2-F2+G3</f>
        <v/>
      </c>
      <c r="H4" s="5">
        <f>H2-G2+H3</f>
        <v/>
      </c>
      <c r="I4" s="5">
        <f>I2-H2+I3</f>
        <v/>
      </c>
      <c r="J4" s="5">
        <f>J2-I2+J3</f>
        <v/>
      </c>
      <c r="K4" s="5">
        <f>K2-J2+K3</f>
        <v/>
      </c>
      <c r="L4" s="5">
        <f>L2-K2+L3</f>
        <v/>
      </c>
      <c r="M4" s="5">
        <f>M2-L2+M3</f>
        <v/>
      </c>
      <c r="N4" s="5">
        <f>N2-M2+N3</f>
        <v/>
      </c>
      <c r="O4" s="5">
        <f>O2-N2+O3</f>
        <v/>
      </c>
      <c r="P4" s="5">
        <f>P2-O2+P3</f>
        <v/>
      </c>
      <c r="Q4" s="5">
        <f>Q2-P2+Q3</f>
        <v/>
      </c>
      <c r="R4" s="5">
        <f>R2-Q2+R3</f>
        <v/>
      </c>
      <c r="S4" s="5">
        <f>S2-R2+S3</f>
        <v/>
      </c>
      <c r="T4" s="5">
        <f>T2-S2+T3</f>
        <v/>
      </c>
      <c r="U4" s="5">
        <f>U2-T2+U3</f>
        <v/>
      </c>
      <c r="V4" s="5">
        <f>V2-U2+V3</f>
        <v/>
      </c>
      <c r="W4" s="5">
        <f>W2-V2+W3</f>
        <v/>
      </c>
      <c r="X4" s="5">
        <f>X2-W2+X3</f>
        <v/>
      </c>
      <c r="Y4" s="5">
        <f>Y2-X2+Y3</f>
        <v/>
      </c>
      <c r="Z4" s="5">
        <f>Z2-Y2+Z3</f>
        <v/>
      </c>
    </row>
    <row r="5">
      <c r="A5" t="inlineStr">
        <is>
          <t>Book-to-bill</t>
        </is>
      </c>
      <c r="C5" s="6">
        <f>C4/C3</f>
        <v/>
      </c>
      <c r="D5" s="6">
        <f>D4/D3</f>
        <v/>
      </c>
      <c r="E5" s="6">
        <f>E4/E3</f>
        <v/>
      </c>
      <c r="F5" s="6">
        <f>F4/F3</f>
        <v/>
      </c>
      <c r="G5" s="6">
        <f>G4/G3</f>
        <v/>
      </c>
      <c r="H5" s="6">
        <f>H4/H3</f>
        <v/>
      </c>
      <c r="I5" s="6">
        <f>I4/I3</f>
        <v/>
      </c>
      <c r="J5" s="6">
        <f>J4/J3</f>
        <v/>
      </c>
      <c r="K5" s="6">
        <f>K4/K3</f>
        <v/>
      </c>
      <c r="L5" s="6">
        <f>L4/L3</f>
        <v/>
      </c>
      <c r="M5" s="6">
        <f>M4/M3</f>
        <v/>
      </c>
      <c r="N5" s="6">
        <f>N4/N3</f>
        <v/>
      </c>
      <c r="O5" s="6">
        <f>O4/O3</f>
        <v/>
      </c>
      <c r="P5" s="6">
        <f>P4/P3</f>
        <v/>
      </c>
      <c r="Q5" s="6">
        <f>Q4/Q3</f>
        <v/>
      </c>
      <c r="R5" s="6">
        <f>R4/R3</f>
        <v/>
      </c>
      <c r="S5" s="6">
        <f>S4/S3</f>
        <v/>
      </c>
      <c r="T5" s="6">
        <f>T4/T3</f>
        <v/>
      </c>
      <c r="U5" s="6">
        <f>U4/U3</f>
        <v/>
      </c>
      <c r="V5" s="6">
        <f>V4/V3</f>
        <v/>
      </c>
      <c r="W5" s="6">
        <f>W4/W3</f>
        <v/>
      </c>
      <c r="X5" s="6">
        <f>X4/X3</f>
        <v/>
      </c>
      <c r="Y5" s="6">
        <f>Y4/Y3</f>
        <v/>
      </c>
      <c r="Z5" s="6">
        <f>Z4/Z3</f>
        <v/>
      </c>
    </row>
    <row r="6">
      <c r="A6" t="inlineStr">
        <is>
          <t>Conversion 1Q</t>
        </is>
      </c>
      <c r="B6" s="6">
        <f>C3/B2</f>
        <v/>
      </c>
      <c r="C6" s="6">
        <f>D3/C2</f>
        <v/>
      </c>
      <c r="D6" s="6">
        <f>E3/D2</f>
        <v/>
      </c>
      <c r="E6" s="6">
        <f>F3/E2</f>
        <v/>
      </c>
      <c r="F6" s="6">
        <f>G3/F2</f>
        <v/>
      </c>
      <c r="G6" s="6">
        <f>H3/G2</f>
        <v/>
      </c>
      <c r="H6" s="6">
        <f>I3/H2</f>
        <v/>
      </c>
      <c r="I6" s="6">
        <f>J3/I2</f>
        <v/>
      </c>
      <c r="J6" s="6">
        <f>K3/J2</f>
        <v/>
      </c>
      <c r="K6" s="6">
        <f>L3/K2</f>
        <v/>
      </c>
      <c r="L6" s="6">
        <f>M3/L2</f>
        <v/>
      </c>
      <c r="M6" s="6">
        <f>N3/M2</f>
        <v/>
      </c>
      <c r="N6" s="6">
        <f>O3/N2</f>
        <v/>
      </c>
      <c r="O6" s="6">
        <f>P3/O2</f>
        <v/>
      </c>
      <c r="P6" s="6">
        <f>Q3/P2</f>
        <v/>
      </c>
      <c r="Q6" s="6">
        <f>R3/Q2</f>
        <v/>
      </c>
      <c r="R6" s="6">
        <f>S3/R2</f>
        <v/>
      </c>
      <c r="S6" s="6">
        <f>T3/S2</f>
        <v/>
      </c>
      <c r="T6" s="6">
        <f>U3/T2</f>
        <v/>
      </c>
      <c r="U6" s="6">
        <f>V3/U2</f>
        <v/>
      </c>
      <c r="V6" s="6">
        <f>W3/V2</f>
        <v/>
      </c>
      <c r="W6" s="6">
        <f>X3/W2</f>
        <v/>
      </c>
      <c r="X6" s="6">
        <f>Y3/X2</f>
        <v/>
      </c>
      <c r="Y6" s="6">
        <f>Z3/Y2</f>
        <v/>
      </c>
    </row>
    <row r="7">
      <c r="A7" t="inlineStr">
        <is>
          <t>Conversion 4Q</t>
        </is>
      </c>
      <c r="B7" s="6">
        <f>SUM(C3:F3)/B2</f>
        <v/>
      </c>
      <c r="C7" s="6">
        <f>SUM(D3:G3)/C2</f>
        <v/>
      </c>
      <c r="D7" s="6">
        <f>SUM(E3:H3)/D2</f>
        <v/>
      </c>
      <c r="E7" s="6">
        <f>SUM(F3:I3)/E2</f>
        <v/>
      </c>
      <c r="F7" s="6">
        <f>SUM(G3:J3)/F2</f>
        <v/>
      </c>
      <c r="G7" s="6">
        <f>SUM(H3:K3)/G2</f>
        <v/>
      </c>
      <c r="H7" s="6">
        <f>SUM(I3:L3)/H2</f>
        <v/>
      </c>
      <c r="I7" s="6">
        <f>SUM(J3:M3)/I2</f>
        <v/>
      </c>
      <c r="J7" s="6">
        <f>SUM(K3:N3)/J2</f>
        <v/>
      </c>
      <c r="K7" s="6">
        <f>SUM(L3:O3)/K2</f>
        <v/>
      </c>
      <c r="L7" s="6">
        <f>SUM(M3:P3)/L2</f>
        <v/>
      </c>
      <c r="M7" s="6">
        <f>SUM(N3:Q3)/M2</f>
        <v/>
      </c>
      <c r="N7" s="6">
        <f>SUM(O3:R3)/N2</f>
        <v/>
      </c>
      <c r="O7" s="6">
        <f>SUM(P3:S3)/O2</f>
        <v/>
      </c>
      <c r="P7" s="6">
        <f>SUM(Q3:T3)/P2</f>
        <v/>
      </c>
      <c r="Q7" s="6">
        <f>SUM(R3:U3)/Q2</f>
        <v/>
      </c>
      <c r="R7" s="6">
        <f>SUM(S3:V3)/R2</f>
        <v/>
      </c>
      <c r="S7" s="6">
        <f>SUM(T3:W3)/S2</f>
        <v/>
      </c>
      <c r="T7" s="6">
        <f>SUM(U3:X3)/T2</f>
        <v/>
      </c>
      <c r="U7" s="6">
        <f>SUM(V3:Y3)/U2</f>
        <v/>
      </c>
      <c r="V7" s="6">
        <f>SUM(W3:Z3)/V2</f>
        <v/>
      </c>
    </row>
    <row r="8">
      <c r="A8" t="inlineStr">
        <is>
          <t>H1 backlog forecast</t>
        </is>
      </c>
      <c r="K8" s="5">
        <f>J2*AVERAGE(F6,B6)</f>
        <v/>
      </c>
      <c r="L8" s="5">
        <f>K2*AVERAGE(G6,C6)</f>
        <v/>
      </c>
      <c r="M8" s="5">
        <f>L2*AVERAGE(H6,D6)</f>
        <v/>
      </c>
      <c r="N8" s="5">
        <f>M2*AVERAGE(I6,E6)</f>
        <v/>
      </c>
      <c r="O8" s="5">
        <f>N2*AVERAGE(J6,F6)</f>
        <v/>
      </c>
      <c r="P8" s="5">
        <f>O2*AVERAGE(K6,G6)</f>
        <v/>
      </c>
      <c r="Q8" s="5">
        <f>P2*AVERAGE(L6,H6)</f>
        <v/>
      </c>
      <c r="R8" s="5">
        <f>Q2*AVERAGE(M6,I6)</f>
        <v/>
      </c>
      <c r="S8" s="5">
        <f>R2*AVERAGE(N6,J6)</f>
        <v/>
      </c>
      <c r="T8" s="5">
        <f>S2*AVERAGE(O6,K6)</f>
        <v/>
      </c>
      <c r="U8" s="5">
        <f>T2*AVERAGE(P6,L6)</f>
        <v/>
      </c>
      <c r="V8" s="5">
        <f>U2*AVERAGE(Q6,M6)</f>
        <v/>
      </c>
      <c r="W8" s="5">
        <f>V2*AVERAGE(R6,N6)</f>
        <v/>
      </c>
      <c r="X8" s="5">
        <f>W2*AVERAGE(S6,O6)</f>
        <v/>
      </c>
      <c r="Y8" s="5">
        <f>X2*AVERAGE(T6,P6)</f>
        <v/>
      </c>
      <c r="Z8" s="5">
        <f>Y2*AVERAGE(U6,Q6)</f>
        <v/>
      </c>
    </row>
    <row r="9">
      <c r="A9" t="inlineStr">
        <is>
          <t>H1 seasonal naive</t>
        </is>
      </c>
      <c r="K9" s="5">
        <f>G3</f>
        <v/>
      </c>
      <c r="L9" s="5">
        <f>H3</f>
        <v/>
      </c>
      <c r="M9" s="5">
        <f>I3</f>
        <v/>
      </c>
      <c r="N9" s="5">
        <f>J3</f>
        <v/>
      </c>
      <c r="O9" s="5">
        <f>K3</f>
        <v/>
      </c>
      <c r="P9" s="5">
        <f>L3</f>
        <v/>
      </c>
      <c r="Q9" s="5">
        <f>M3</f>
        <v/>
      </c>
      <c r="R9" s="5">
        <f>N3</f>
        <v/>
      </c>
      <c r="S9" s="5">
        <f>O3</f>
        <v/>
      </c>
      <c r="T9" s="5">
        <f>P3</f>
        <v/>
      </c>
      <c r="U9" s="5">
        <f>Q3</f>
        <v/>
      </c>
      <c r="V9" s="5">
        <f>R3</f>
        <v/>
      </c>
      <c r="W9" s="5">
        <f>S3</f>
        <v/>
      </c>
      <c r="X9" s="5">
        <f>T3</f>
        <v/>
      </c>
      <c r="Y9" s="5">
        <f>U3</f>
        <v/>
      </c>
      <c r="Z9" s="5">
        <f>V3</f>
        <v/>
      </c>
    </row>
    <row r="10">
      <c r="A10" t="inlineStr">
        <is>
          <t>H1 naive with drift</t>
        </is>
      </c>
      <c r="K10" s="5">
        <f>G3*SUM(G3:J3)/SUM(C3:F3)</f>
        <v/>
      </c>
      <c r="L10" s="5">
        <f>H3*SUM(H3:K3)/SUM(D3:G3)</f>
        <v/>
      </c>
      <c r="M10" s="5">
        <f>I3*SUM(I3:L3)/SUM(E3:H3)</f>
        <v/>
      </c>
      <c r="N10" s="5">
        <f>J3*SUM(J3:M3)/SUM(F3:I3)</f>
        <v/>
      </c>
      <c r="O10" s="5">
        <f>K3*SUM(K3:N3)/SUM(G3:J3)</f>
        <v/>
      </c>
      <c r="P10" s="5">
        <f>L3*SUM(L3:O3)/SUM(H3:K3)</f>
        <v/>
      </c>
      <c r="Q10" s="5">
        <f>M3*SUM(M3:P3)/SUM(I3:L3)</f>
        <v/>
      </c>
      <c r="R10" s="5">
        <f>N3*SUM(N3:Q3)/SUM(J3:M3)</f>
        <v/>
      </c>
      <c r="S10" s="5">
        <f>O3*SUM(O3:R3)/SUM(K3:N3)</f>
        <v/>
      </c>
      <c r="T10" s="5">
        <f>P3*SUM(P3:S3)/SUM(L3:O3)</f>
        <v/>
      </c>
      <c r="U10" s="5">
        <f>Q3*SUM(Q3:T3)/SUM(M3:P3)</f>
        <v/>
      </c>
      <c r="V10" s="5">
        <f>R3*SUM(R3:U3)/SUM(N3:Q3)</f>
        <v/>
      </c>
      <c r="W10" s="5">
        <f>S3*SUM(S3:V3)/SUM(O3:R3)</f>
        <v/>
      </c>
      <c r="X10" s="5">
        <f>T3*SUM(T3:W3)/SUM(P3:S3)</f>
        <v/>
      </c>
      <c r="Y10" s="5">
        <f>U3*SUM(U3:X3)/SUM(Q3:T3)</f>
        <v/>
      </c>
      <c r="Z10" s="5">
        <f>V3*SUM(V3:Y3)/SUM(R3:U3)</f>
        <v/>
      </c>
    </row>
    <row r="11">
      <c r="A11" t="inlineStr">
        <is>
          <t>H1 backlog APE %</t>
        </is>
      </c>
      <c r="K11" s="7">
        <f>ABS(K3-K8)/K3*100</f>
        <v/>
      </c>
      <c r="L11" s="7">
        <f>ABS(L3-L8)/L3*100</f>
        <v/>
      </c>
      <c r="M11" s="7">
        <f>ABS(M3-M8)/M3*100</f>
        <v/>
      </c>
      <c r="N11" s="7">
        <f>ABS(N3-N8)/N3*100</f>
        <v/>
      </c>
      <c r="O11" s="7">
        <f>ABS(O3-O8)/O3*100</f>
        <v/>
      </c>
      <c r="P11" s="7">
        <f>ABS(P3-P8)/P3*100</f>
        <v/>
      </c>
      <c r="Q11" s="7">
        <f>ABS(Q3-Q8)/Q3*100</f>
        <v/>
      </c>
      <c r="R11" s="7">
        <f>ABS(R3-R8)/R3*100</f>
        <v/>
      </c>
      <c r="S11" s="7">
        <f>ABS(S3-S8)/S3*100</f>
        <v/>
      </c>
      <c r="T11" s="7">
        <f>ABS(T3-T8)/T3*100</f>
        <v/>
      </c>
      <c r="U11" s="7">
        <f>ABS(U3-U8)/U3*100</f>
        <v/>
      </c>
      <c r="V11" s="7">
        <f>ABS(V3-V8)/V3*100</f>
        <v/>
      </c>
      <c r="W11" s="7">
        <f>ABS(W3-W8)/W3*100</f>
        <v/>
      </c>
      <c r="X11" s="7">
        <f>ABS(X3-X8)/X3*100</f>
        <v/>
      </c>
      <c r="Y11" s="7">
        <f>ABS(Y3-Y8)/Y3*100</f>
        <v/>
      </c>
      <c r="Z11" s="7">
        <f>ABS(Z3-Z8)/Z3*100</f>
        <v/>
      </c>
    </row>
    <row r="12">
      <c r="A12" t="inlineStr">
        <is>
          <t>H1 seasonal naive APE %</t>
        </is>
      </c>
      <c r="K12" s="7">
        <f>ABS(K3-K9)/K3*100</f>
        <v/>
      </c>
      <c r="L12" s="7">
        <f>ABS(L3-L9)/L3*100</f>
        <v/>
      </c>
      <c r="M12" s="7">
        <f>ABS(M3-M9)/M3*100</f>
        <v/>
      </c>
      <c r="N12" s="7">
        <f>ABS(N3-N9)/N3*100</f>
        <v/>
      </c>
      <c r="O12" s="7">
        <f>ABS(O3-O9)/O3*100</f>
        <v/>
      </c>
      <c r="P12" s="7">
        <f>ABS(P3-P9)/P3*100</f>
        <v/>
      </c>
      <c r="Q12" s="7">
        <f>ABS(Q3-Q9)/Q3*100</f>
        <v/>
      </c>
      <c r="R12" s="7">
        <f>ABS(R3-R9)/R3*100</f>
        <v/>
      </c>
      <c r="S12" s="7">
        <f>ABS(S3-S9)/S3*100</f>
        <v/>
      </c>
      <c r="T12" s="7">
        <f>ABS(T3-T9)/T3*100</f>
        <v/>
      </c>
      <c r="U12" s="7">
        <f>ABS(U3-U9)/U3*100</f>
        <v/>
      </c>
      <c r="V12" s="7">
        <f>ABS(V3-V9)/V3*100</f>
        <v/>
      </c>
      <c r="W12" s="7">
        <f>ABS(W3-W9)/W3*100</f>
        <v/>
      </c>
      <c r="X12" s="7">
        <f>ABS(X3-X9)/X3*100</f>
        <v/>
      </c>
      <c r="Y12" s="7">
        <f>ABS(Y3-Y9)/Y3*100</f>
        <v/>
      </c>
      <c r="Z12" s="7">
        <f>ABS(Z3-Z9)/Z3*100</f>
        <v/>
      </c>
    </row>
    <row r="13">
      <c r="A13" t="inlineStr">
        <is>
          <t>H1 naive with drift APE %</t>
        </is>
      </c>
      <c r="K13" s="7">
        <f>ABS(K3-K10)/K3*100</f>
        <v/>
      </c>
      <c r="L13" s="7">
        <f>ABS(L3-L10)/L3*100</f>
        <v/>
      </c>
      <c r="M13" s="7">
        <f>ABS(M3-M10)/M3*100</f>
        <v/>
      </c>
      <c r="N13" s="7">
        <f>ABS(N3-N10)/N3*100</f>
        <v/>
      </c>
      <c r="O13" s="7">
        <f>ABS(O3-O10)/O3*100</f>
        <v/>
      </c>
      <c r="P13" s="7">
        <f>ABS(P3-P10)/P3*100</f>
        <v/>
      </c>
      <c r="Q13" s="7">
        <f>ABS(Q3-Q10)/Q3*100</f>
        <v/>
      </c>
      <c r="R13" s="7">
        <f>ABS(R3-R10)/R3*100</f>
        <v/>
      </c>
      <c r="S13" s="7">
        <f>ABS(S3-S10)/S3*100</f>
        <v/>
      </c>
      <c r="T13" s="7">
        <f>ABS(T3-T10)/T3*100</f>
        <v/>
      </c>
      <c r="U13" s="7">
        <f>ABS(U3-U10)/U3*100</f>
        <v/>
      </c>
      <c r="V13" s="7">
        <f>ABS(V3-V10)/V3*100</f>
        <v/>
      </c>
      <c r="W13" s="7">
        <f>ABS(W3-W10)/W3*100</f>
        <v/>
      </c>
      <c r="X13" s="7">
        <f>ABS(X3-X10)/X3*100</f>
        <v/>
      </c>
      <c r="Y13" s="7">
        <f>ABS(Y3-Y10)/Y3*100</f>
        <v/>
      </c>
      <c r="Z13" s="7">
        <f>ABS(Z3-Z10)/Z3*100</f>
        <v/>
      </c>
    </row>
    <row r="14">
      <c r="A14" t="inlineStr">
        <is>
          <t>H4 actual</t>
        </is>
      </c>
      <c r="J14" s="5">
        <f>SUM(K3:N3)</f>
        <v/>
      </c>
      <c r="K14" s="5">
        <f>SUM(L3:O3)</f>
        <v/>
      </c>
      <c r="L14" s="5">
        <f>SUM(M3:P3)</f>
        <v/>
      </c>
      <c r="M14" s="5">
        <f>SUM(N3:Q3)</f>
        <v/>
      </c>
      <c r="N14" s="5">
        <f>SUM(O3:R3)</f>
        <v/>
      </c>
      <c r="O14" s="5">
        <f>SUM(P3:S3)</f>
        <v/>
      </c>
      <c r="P14" s="5">
        <f>SUM(Q3:T3)</f>
        <v/>
      </c>
      <c r="Q14" s="5">
        <f>SUM(R3:U3)</f>
        <v/>
      </c>
      <c r="R14" s="5">
        <f>SUM(S3:V3)</f>
        <v/>
      </c>
      <c r="S14" s="5">
        <f>SUM(T3:W3)</f>
        <v/>
      </c>
      <c r="T14" s="5">
        <f>SUM(U3:X3)</f>
        <v/>
      </c>
      <c r="U14" s="5">
        <f>SUM(V3:Y3)</f>
        <v/>
      </c>
      <c r="V14" s="5">
        <f>SUM(W3:Z3)</f>
        <v/>
      </c>
    </row>
    <row r="15">
      <c r="A15" t="inlineStr">
        <is>
          <t>H4 backlog forecast</t>
        </is>
      </c>
      <c r="J15" s="5">
        <f>J2*AVERAGE(C7:F7)</f>
        <v/>
      </c>
      <c r="K15" s="5">
        <f>K2*AVERAGE(D7:G7)</f>
        <v/>
      </c>
      <c r="L15" s="5">
        <f>L2*AVERAGE(E7:H7)</f>
        <v/>
      </c>
      <c r="M15" s="5">
        <f>M2*AVERAGE(F7:I7)</f>
        <v/>
      </c>
      <c r="N15" s="5">
        <f>N2*AVERAGE(G7:J7)</f>
        <v/>
      </c>
      <c r="O15" s="5">
        <f>O2*AVERAGE(H7:K7)</f>
        <v/>
      </c>
      <c r="P15" s="5">
        <f>P2*AVERAGE(I7:L7)</f>
        <v/>
      </c>
      <c r="Q15" s="5">
        <f>Q2*AVERAGE(J7:M7)</f>
        <v/>
      </c>
      <c r="R15" s="5">
        <f>R2*AVERAGE(K7:N7)</f>
        <v/>
      </c>
      <c r="S15" s="5">
        <f>S2*AVERAGE(L7:O7)</f>
        <v/>
      </c>
      <c r="T15" s="5">
        <f>T2*AVERAGE(M7:P7)</f>
        <v/>
      </c>
      <c r="U15" s="5">
        <f>U2*AVERAGE(N7:Q7)</f>
        <v/>
      </c>
      <c r="V15" s="5">
        <f>V2*AVERAGE(O7:R7)</f>
        <v/>
      </c>
    </row>
    <row r="16">
      <c r="A16" t="inlineStr">
        <is>
          <t>H4 trailing 4Q</t>
        </is>
      </c>
      <c r="J16" s="5">
        <f>SUM(G3:J3)</f>
        <v/>
      </c>
      <c r="K16" s="5">
        <f>SUM(H3:K3)</f>
        <v/>
      </c>
      <c r="L16" s="5">
        <f>SUM(I3:L3)</f>
        <v/>
      </c>
      <c r="M16" s="5">
        <f>SUM(J3:M3)</f>
        <v/>
      </c>
      <c r="N16" s="5">
        <f>SUM(K3:N3)</f>
        <v/>
      </c>
      <c r="O16" s="5">
        <f>SUM(L3:O3)</f>
        <v/>
      </c>
      <c r="P16" s="5">
        <f>SUM(M3:P3)</f>
        <v/>
      </c>
      <c r="Q16" s="5">
        <f>SUM(N3:Q3)</f>
        <v/>
      </c>
      <c r="R16" s="5">
        <f>SUM(O3:R3)</f>
        <v/>
      </c>
      <c r="S16" s="5">
        <f>SUM(P3:S3)</f>
        <v/>
      </c>
      <c r="T16" s="5">
        <f>SUM(Q3:T3)</f>
        <v/>
      </c>
      <c r="U16" s="5">
        <f>SUM(R3:U3)</f>
        <v/>
      </c>
      <c r="V16" s="5">
        <f>SUM(S3:V3)</f>
        <v/>
      </c>
    </row>
    <row r="17">
      <c r="A17" t="inlineStr">
        <is>
          <t>H4 trailing 4Q with drift</t>
        </is>
      </c>
      <c r="J17" s="5">
        <f>SUM(G3:J3)^2/SUM(C3:F3)</f>
        <v/>
      </c>
      <c r="K17" s="5">
        <f>SUM(H3:K3)^2/SUM(D3:G3)</f>
        <v/>
      </c>
      <c r="L17" s="5">
        <f>SUM(I3:L3)^2/SUM(E3:H3)</f>
        <v/>
      </c>
      <c r="M17" s="5">
        <f>SUM(J3:M3)^2/SUM(F3:I3)</f>
        <v/>
      </c>
      <c r="N17" s="5">
        <f>SUM(K3:N3)^2/SUM(G3:J3)</f>
        <v/>
      </c>
      <c r="O17" s="5">
        <f>SUM(L3:O3)^2/SUM(H3:K3)</f>
        <v/>
      </c>
      <c r="P17" s="5">
        <f>SUM(M3:P3)^2/SUM(I3:L3)</f>
        <v/>
      </c>
      <c r="Q17" s="5">
        <f>SUM(N3:Q3)^2/SUM(J3:M3)</f>
        <v/>
      </c>
      <c r="R17" s="5">
        <f>SUM(O3:R3)^2/SUM(K3:N3)</f>
        <v/>
      </c>
      <c r="S17" s="5">
        <f>SUM(P3:S3)^2/SUM(L3:O3)</f>
        <v/>
      </c>
      <c r="T17" s="5">
        <f>SUM(Q3:T3)^2/SUM(M3:P3)</f>
        <v/>
      </c>
      <c r="U17" s="5">
        <f>SUM(R3:U3)^2/SUM(N3:Q3)</f>
        <v/>
      </c>
      <c r="V17" s="5">
        <f>SUM(S3:V3)^2/SUM(O3:R3)</f>
        <v/>
      </c>
    </row>
    <row r="18">
      <c r="A18" t="inlineStr">
        <is>
          <t>H4 backlog APE %</t>
        </is>
      </c>
      <c r="J18" s="7">
        <f>ABS(J14-J15)/J14*100</f>
        <v/>
      </c>
      <c r="K18" s="7">
        <f>ABS(K14-K15)/K14*100</f>
        <v/>
      </c>
      <c r="L18" s="7">
        <f>ABS(L14-L15)/L14*100</f>
        <v/>
      </c>
      <c r="M18" s="7">
        <f>ABS(M14-M15)/M14*100</f>
        <v/>
      </c>
      <c r="N18" s="7">
        <f>ABS(N14-N15)/N14*100</f>
        <v/>
      </c>
      <c r="O18" s="7">
        <f>ABS(O14-O15)/O14*100</f>
        <v/>
      </c>
      <c r="P18" s="7">
        <f>ABS(P14-P15)/P14*100</f>
        <v/>
      </c>
      <c r="Q18" s="7">
        <f>ABS(Q14-Q15)/Q14*100</f>
        <v/>
      </c>
      <c r="R18" s="7">
        <f>ABS(R14-R15)/R14*100</f>
        <v/>
      </c>
      <c r="S18" s="7">
        <f>ABS(S14-S15)/S14*100</f>
        <v/>
      </c>
      <c r="T18" s="7">
        <f>ABS(T14-T15)/T14*100</f>
        <v/>
      </c>
      <c r="U18" s="7">
        <f>ABS(U14-U15)/U14*100</f>
        <v/>
      </c>
      <c r="V18" s="7">
        <f>ABS(V14-V15)/V14*100</f>
        <v/>
      </c>
    </row>
    <row r="19">
      <c r="A19" t="inlineStr">
        <is>
          <t>H4 trailing 4Q APE %</t>
        </is>
      </c>
      <c r="J19" s="7">
        <f>ABS(J14-J16)/J14*100</f>
        <v/>
      </c>
      <c r="K19" s="7">
        <f>ABS(K14-K16)/K14*100</f>
        <v/>
      </c>
      <c r="L19" s="7">
        <f>ABS(L14-L16)/L14*100</f>
        <v/>
      </c>
      <c r="M19" s="7">
        <f>ABS(M14-M16)/M14*100</f>
        <v/>
      </c>
      <c r="N19" s="7">
        <f>ABS(N14-N16)/N14*100</f>
        <v/>
      </c>
      <c r="O19" s="7">
        <f>ABS(O14-O16)/O14*100</f>
        <v/>
      </c>
      <c r="P19" s="7">
        <f>ABS(P14-P16)/P14*100</f>
        <v/>
      </c>
      <c r="Q19" s="7">
        <f>ABS(Q14-Q16)/Q14*100</f>
        <v/>
      </c>
      <c r="R19" s="7">
        <f>ABS(R14-R16)/R14*100</f>
        <v/>
      </c>
      <c r="S19" s="7">
        <f>ABS(S14-S16)/S14*100</f>
        <v/>
      </c>
      <c r="T19" s="7">
        <f>ABS(T14-T16)/T14*100</f>
        <v/>
      </c>
      <c r="U19" s="7">
        <f>ABS(U14-U16)/U14*100</f>
        <v/>
      </c>
      <c r="V19" s="7">
        <f>ABS(V14-V16)/V14*100</f>
        <v/>
      </c>
    </row>
    <row r="20">
      <c r="A20" t="inlineStr">
        <is>
          <t>H4 trailing 4Q with drift APE %</t>
        </is>
      </c>
      <c r="J20" s="7">
        <f>ABS(J14-J17)/J14*100</f>
        <v/>
      </c>
      <c r="K20" s="7">
        <f>ABS(K14-K17)/K14*100</f>
        <v/>
      </c>
      <c r="L20" s="7">
        <f>ABS(L14-L17)/L14*100</f>
        <v/>
      </c>
      <c r="M20" s="7">
        <f>ABS(M14-M17)/M14*100</f>
        <v/>
      </c>
      <c r="N20" s="7">
        <f>ABS(N14-N17)/N14*100</f>
        <v/>
      </c>
      <c r="O20" s="7">
        <f>ABS(O14-O17)/O14*100</f>
        <v/>
      </c>
      <c r="P20" s="7">
        <f>ABS(P14-P17)/P14*100</f>
        <v/>
      </c>
      <c r="Q20" s="7">
        <f>ABS(Q14-Q17)/Q14*100</f>
        <v/>
      </c>
      <c r="R20" s="7">
        <f>ABS(R14-R17)/R14*100</f>
        <v/>
      </c>
      <c r="S20" s="7">
        <f>ABS(S14-S17)/S14*100</f>
        <v/>
      </c>
      <c r="T20" s="7">
        <f>ABS(T14-T17)/T14*100</f>
        <v/>
      </c>
      <c r="U20" s="7">
        <f>ABS(U14-U17)/U14*100</f>
        <v/>
      </c>
      <c r="V20" s="7">
        <f>ABS(V14-V17)/V14*100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5" customWidth="1" min="9" max="9"/>
    <col width="17" customWidth="1" min="10" max="10"/>
    <col width="13" customWidth="1" min="11" max="11"/>
    <col width="11" customWidth="1" min="12" max="12"/>
  </cols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Revenue prior</t>
        </is>
      </c>
      <c r="D1" s="1" t="inlineStr">
        <is>
          <t>Revenue</t>
        </is>
      </c>
      <c r="E1" s="1" t="inlineStr">
        <is>
          <t>Backlog start prior</t>
        </is>
      </c>
      <c r="F1" s="1" t="inlineStr">
        <is>
          <t>Backlog start</t>
        </is>
      </c>
      <c r="G1" s="1" t="inlineStr">
        <is>
          <t>Conversion prior</t>
        </is>
      </c>
      <c r="H1" s="1" t="inlineStr">
        <is>
          <t>Conversion</t>
        </is>
      </c>
      <c r="I1" s="1" t="inlineStr">
        <is>
          <t>Backlog effect</t>
        </is>
      </c>
      <c r="J1" s="1" t="inlineStr">
        <is>
          <t>Conversion effect</t>
        </is>
      </c>
      <c r="K1" s="1" t="inlineStr">
        <is>
          <t>Interaction</t>
        </is>
      </c>
      <c r="L1" s="1" t="inlineStr">
        <is>
          <t>Residual</t>
        </is>
      </c>
    </row>
    <row r="2">
      <c r="A2" t="inlineStr">
        <is>
          <t>HII</t>
        </is>
      </c>
      <c r="B2" t="n">
        <v>2020</v>
      </c>
      <c r="C2" s="5">
        <f>SUM(HII!F3:I3)</f>
        <v/>
      </c>
      <c r="D2" s="5">
        <f>SUM(HII!J3:M3)</f>
        <v/>
      </c>
      <c r="E2" s="5">
        <f>HII!E2</f>
        <v/>
      </c>
      <c r="F2" s="5">
        <f>HII!I2</f>
        <v/>
      </c>
      <c r="G2" s="6">
        <f>C2/E2</f>
        <v/>
      </c>
      <c r="H2" s="6">
        <f>D2/F2</f>
        <v/>
      </c>
      <c r="I2" s="5">
        <f>(F2-E2)*G2</f>
        <v/>
      </c>
      <c r="J2" s="5">
        <f>E2*(H2-G2)</f>
        <v/>
      </c>
      <c r="K2" s="5">
        <f>(F2-E2)*(H2-G2)</f>
        <v/>
      </c>
      <c r="L2" s="5">
        <f>(D2-C2)-(I2+J2+K2)</f>
        <v/>
      </c>
    </row>
    <row r="3">
      <c r="A3" t="inlineStr">
        <is>
          <t>HII</t>
        </is>
      </c>
      <c r="B3" t="n">
        <v>2021</v>
      </c>
      <c r="C3" s="5">
        <f>SUM(HII!J3:M3)</f>
        <v/>
      </c>
      <c r="D3" s="5">
        <f>SUM(HII!N3:Q3)</f>
        <v/>
      </c>
      <c r="E3" s="5">
        <f>HII!I2</f>
        <v/>
      </c>
      <c r="F3" s="5">
        <f>HII!M2</f>
        <v/>
      </c>
      <c r="G3" s="6">
        <f>C3/E3</f>
        <v/>
      </c>
      <c r="H3" s="6">
        <f>D3/F3</f>
        <v/>
      </c>
      <c r="I3" s="5">
        <f>(F3-E3)*G3</f>
        <v/>
      </c>
      <c r="J3" s="5">
        <f>E3*(H3-G3)</f>
        <v/>
      </c>
      <c r="K3" s="5">
        <f>(F3-E3)*(H3-G3)</f>
        <v/>
      </c>
      <c r="L3" s="5">
        <f>(D3-C3)-(I3+J3+K3)</f>
        <v/>
      </c>
    </row>
    <row r="4">
      <c r="A4" t="inlineStr">
        <is>
          <t>HII</t>
        </is>
      </c>
      <c r="B4" t="n">
        <v>2022</v>
      </c>
      <c r="C4" s="5">
        <f>SUM(HII!N3:Q3)</f>
        <v/>
      </c>
      <c r="D4" s="5">
        <f>SUM(HII!R3:U3)</f>
        <v/>
      </c>
      <c r="E4" s="5">
        <f>HII!M2</f>
        <v/>
      </c>
      <c r="F4" s="5">
        <f>HII!Q2</f>
        <v/>
      </c>
      <c r="G4" s="6">
        <f>C4/E4</f>
        <v/>
      </c>
      <c r="H4" s="6">
        <f>D4/F4</f>
        <v/>
      </c>
      <c r="I4" s="5">
        <f>(F4-E4)*G4</f>
        <v/>
      </c>
      <c r="J4" s="5">
        <f>E4*(H4-G4)</f>
        <v/>
      </c>
      <c r="K4" s="5">
        <f>(F4-E4)*(H4-G4)</f>
        <v/>
      </c>
      <c r="L4" s="5">
        <f>(D4-C4)-(I4+J4+K4)</f>
        <v/>
      </c>
    </row>
    <row r="5">
      <c r="A5" t="inlineStr">
        <is>
          <t>HII</t>
        </is>
      </c>
      <c r="B5" t="n">
        <v>2023</v>
      </c>
      <c r="C5" s="5">
        <f>SUM(HII!R3:U3)</f>
        <v/>
      </c>
      <c r="D5" s="5">
        <f>SUM(HII!V3:Y3)</f>
        <v/>
      </c>
      <c r="E5" s="5">
        <f>HII!Q2</f>
        <v/>
      </c>
      <c r="F5" s="5">
        <f>HII!U2</f>
        <v/>
      </c>
      <c r="G5" s="6">
        <f>C5/E5</f>
        <v/>
      </c>
      <c r="H5" s="6">
        <f>D5/F5</f>
        <v/>
      </c>
      <c r="I5" s="5">
        <f>(F5-E5)*G5</f>
        <v/>
      </c>
      <c r="J5" s="5">
        <f>E5*(H5-G5)</f>
        <v/>
      </c>
      <c r="K5" s="5">
        <f>(F5-E5)*(H5-G5)</f>
        <v/>
      </c>
      <c r="L5" s="5">
        <f>(D5-C5)-(I5+J5+K5)</f>
        <v/>
      </c>
    </row>
    <row r="6">
      <c r="A6" t="inlineStr">
        <is>
          <t>HII</t>
        </is>
      </c>
      <c r="B6" t="n">
        <v>2024</v>
      </c>
      <c r="C6" s="5">
        <f>SUM(HII!V3:Y3)</f>
        <v/>
      </c>
      <c r="D6" s="5">
        <f>SUM(HII!Z3:AC3)</f>
        <v/>
      </c>
      <c r="E6" s="5">
        <f>HII!U2</f>
        <v/>
      </c>
      <c r="F6" s="5">
        <f>HII!Y2</f>
        <v/>
      </c>
      <c r="G6" s="6">
        <f>C6/E6</f>
        <v/>
      </c>
      <c r="H6" s="6">
        <f>D6/F6</f>
        <v/>
      </c>
      <c r="I6" s="5">
        <f>(F6-E6)*G6</f>
        <v/>
      </c>
      <c r="J6" s="5">
        <f>E6*(H6-G6)</f>
        <v/>
      </c>
      <c r="K6" s="5">
        <f>(F6-E6)*(H6-G6)</f>
        <v/>
      </c>
      <c r="L6" s="5">
        <f>(D6-C6)-(I6+J6+K6)</f>
        <v/>
      </c>
    </row>
    <row r="7">
      <c r="A7" t="inlineStr">
        <is>
          <t>HII</t>
        </is>
      </c>
      <c r="B7" t="n">
        <v>2025</v>
      </c>
      <c r="C7" s="5">
        <f>SUM(HII!Z3:AC3)</f>
        <v/>
      </c>
      <c r="D7" s="5">
        <f>SUM(HII!AD3:AG3)</f>
        <v/>
      </c>
      <c r="E7" s="5">
        <f>HII!Y2</f>
        <v/>
      </c>
      <c r="F7" s="5">
        <f>HII!AC2</f>
        <v/>
      </c>
      <c r="G7" s="6">
        <f>C7/E7</f>
        <v/>
      </c>
      <c r="H7" s="6">
        <f>D7/F7</f>
        <v/>
      </c>
      <c r="I7" s="5">
        <f>(F7-E7)*G7</f>
        <v/>
      </c>
      <c r="J7" s="5">
        <f>E7*(H7-G7)</f>
        <v/>
      </c>
      <c r="K7" s="5">
        <f>(F7-E7)*(H7-G7)</f>
        <v/>
      </c>
      <c r="L7" s="5">
        <f>(D7-C7)-(I7+J7+K7)</f>
        <v/>
      </c>
    </row>
    <row r="8">
      <c r="A8" t="inlineStr">
        <is>
          <t>LHX</t>
        </is>
      </c>
      <c r="B8" t="n">
        <v>2022</v>
      </c>
      <c r="C8" s="5">
        <f>SUM(LHX!F3:I3)</f>
        <v/>
      </c>
      <c r="D8" s="5">
        <f>SUM(LHX!J3:M3)</f>
        <v/>
      </c>
      <c r="E8" s="5">
        <f>LHX!E2</f>
        <v/>
      </c>
      <c r="F8" s="5">
        <f>LHX!I2</f>
        <v/>
      </c>
      <c r="G8" s="6">
        <f>C8/E8</f>
        <v/>
      </c>
      <c r="H8" s="6">
        <f>D8/F8</f>
        <v/>
      </c>
      <c r="I8" s="5">
        <f>(F8-E8)*G8</f>
        <v/>
      </c>
      <c r="J8" s="5">
        <f>E8*(H8-G8)</f>
        <v/>
      </c>
      <c r="K8" s="5">
        <f>(F8-E8)*(H8-G8)</f>
        <v/>
      </c>
      <c r="L8" s="5">
        <f>(D8-C8)-(I8+J8+K8)</f>
        <v/>
      </c>
    </row>
    <row r="9">
      <c r="A9" t="inlineStr">
        <is>
          <t>LHX</t>
        </is>
      </c>
      <c r="B9" t="n">
        <v>2023</v>
      </c>
      <c r="C9" s="5">
        <f>SUM(LHX!J3:M3)</f>
        <v/>
      </c>
      <c r="D9" s="5">
        <f>SUM(LHX!N3:Q3)</f>
        <v/>
      </c>
      <c r="E9" s="5">
        <f>LHX!I2</f>
        <v/>
      </c>
      <c r="F9" s="5">
        <f>LHX!M2</f>
        <v/>
      </c>
      <c r="G9" s="6">
        <f>C9/E9</f>
        <v/>
      </c>
      <c r="H9" s="6">
        <f>D9/F9</f>
        <v/>
      </c>
      <c r="I9" s="5">
        <f>(F9-E9)*G9</f>
        <v/>
      </c>
      <c r="J9" s="5">
        <f>E9*(H9-G9)</f>
        <v/>
      </c>
      <c r="K9" s="5">
        <f>(F9-E9)*(H9-G9)</f>
        <v/>
      </c>
      <c r="L9" s="5">
        <f>(D9-C9)-(I9+J9+K9)</f>
        <v/>
      </c>
    </row>
    <row r="10">
      <c r="A10" t="inlineStr">
        <is>
          <t>LHX</t>
        </is>
      </c>
      <c r="B10" t="n">
        <v>2024</v>
      </c>
      <c r="C10" s="5">
        <f>SUM(LHX!N3:Q3)</f>
        <v/>
      </c>
      <c r="D10" s="5">
        <f>SUM(LHX!R3:U3)</f>
        <v/>
      </c>
      <c r="E10" s="5">
        <f>LHX!M2</f>
        <v/>
      </c>
      <c r="F10" s="5">
        <f>LHX!Q2</f>
        <v/>
      </c>
      <c r="G10" s="6">
        <f>C10/E10</f>
        <v/>
      </c>
      <c r="H10" s="6">
        <f>D10/F10</f>
        <v/>
      </c>
      <c r="I10" s="5">
        <f>(F10-E10)*G10</f>
        <v/>
      </c>
      <c r="J10" s="5">
        <f>E10*(H10-G10)</f>
        <v/>
      </c>
      <c r="K10" s="5">
        <f>(F10-E10)*(H10-G10)</f>
        <v/>
      </c>
      <c r="L10" s="5">
        <f>(D10-C10)-(I10+J10+K10)</f>
        <v/>
      </c>
    </row>
    <row r="11">
      <c r="A11" t="inlineStr">
        <is>
          <t>LHX</t>
        </is>
      </c>
      <c r="B11" t="n">
        <v>2025</v>
      </c>
      <c r="C11" s="5">
        <f>SUM(LHX!R3:U3)</f>
        <v/>
      </c>
      <c r="D11" s="5">
        <f>SUM(LHX!V3:Y3)</f>
        <v/>
      </c>
      <c r="E11" s="5">
        <f>LHX!Q2</f>
        <v/>
      </c>
      <c r="F11" s="5">
        <f>LHX!U2</f>
        <v/>
      </c>
      <c r="G11" s="6">
        <f>C11/E11</f>
        <v/>
      </c>
      <c r="H11" s="6">
        <f>D11/F11</f>
        <v/>
      </c>
      <c r="I11" s="5">
        <f>(F11-E11)*G11</f>
        <v/>
      </c>
      <c r="J11" s="5">
        <f>E11*(H11-G11)</f>
        <v/>
      </c>
      <c r="K11" s="5">
        <f>(F11-E11)*(H11-G11)</f>
        <v/>
      </c>
      <c r="L11" s="5">
        <f>(D11-C11)-(I11+J11+K11)</f>
        <v/>
      </c>
    </row>
    <row r="12">
      <c r="A12" t="inlineStr">
        <is>
          <t>LMT</t>
        </is>
      </c>
      <c r="B12" t="n">
        <v>2020</v>
      </c>
      <c r="C12" s="5">
        <f>SUM(LMT!F3:I3)</f>
        <v/>
      </c>
      <c r="D12" s="5">
        <f>SUM(LMT!J3:M3)</f>
        <v/>
      </c>
      <c r="E12" s="5">
        <f>LMT!E2</f>
        <v/>
      </c>
      <c r="F12" s="5">
        <f>LMT!I2</f>
        <v/>
      </c>
      <c r="G12" s="6">
        <f>C12/E12</f>
        <v/>
      </c>
      <c r="H12" s="6">
        <f>D12/F12</f>
        <v/>
      </c>
      <c r="I12" s="5">
        <f>(F12-E12)*G12</f>
        <v/>
      </c>
      <c r="J12" s="5">
        <f>E12*(H12-G12)</f>
        <v/>
      </c>
      <c r="K12" s="5">
        <f>(F12-E12)*(H12-G12)</f>
        <v/>
      </c>
      <c r="L12" s="5">
        <f>(D12-C12)-(I12+J12+K12)</f>
        <v/>
      </c>
    </row>
    <row r="13">
      <c r="A13" t="inlineStr">
        <is>
          <t>LMT</t>
        </is>
      </c>
      <c r="B13" t="n">
        <v>2021</v>
      </c>
      <c r="C13" s="5">
        <f>SUM(LMT!J3:M3)</f>
        <v/>
      </c>
      <c r="D13" s="5">
        <f>SUM(LMT!N3:Q3)</f>
        <v/>
      </c>
      <c r="E13" s="5">
        <f>LMT!I2</f>
        <v/>
      </c>
      <c r="F13" s="5">
        <f>LMT!M2</f>
        <v/>
      </c>
      <c r="G13" s="6">
        <f>C13/E13</f>
        <v/>
      </c>
      <c r="H13" s="6">
        <f>D13/F13</f>
        <v/>
      </c>
      <c r="I13" s="5">
        <f>(F13-E13)*G13</f>
        <v/>
      </c>
      <c r="J13" s="5">
        <f>E13*(H13-G13)</f>
        <v/>
      </c>
      <c r="K13" s="5">
        <f>(F13-E13)*(H13-G13)</f>
        <v/>
      </c>
      <c r="L13" s="5">
        <f>(D13-C13)-(I13+J13+K13)</f>
        <v/>
      </c>
    </row>
    <row r="14">
      <c r="A14" t="inlineStr">
        <is>
          <t>LMT</t>
        </is>
      </c>
      <c r="B14" t="n">
        <v>2022</v>
      </c>
      <c r="C14" s="5">
        <f>SUM(LMT!N3:Q3)</f>
        <v/>
      </c>
      <c r="D14" s="5">
        <f>SUM(LMT!R3:U3)</f>
        <v/>
      </c>
      <c r="E14" s="5">
        <f>LMT!M2</f>
        <v/>
      </c>
      <c r="F14" s="5">
        <f>LMT!Q2</f>
        <v/>
      </c>
      <c r="G14" s="6">
        <f>C14/E14</f>
        <v/>
      </c>
      <c r="H14" s="6">
        <f>D14/F14</f>
        <v/>
      </c>
      <c r="I14" s="5">
        <f>(F14-E14)*G14</f>
        <v/>
      </c>
      <c r="J14" s="5">
        <f>E14*(H14-G14)</f>
        <v/>
      </c>
      <c r="K14" s="5">
        <f>(F14-E14)*(H14-G14)</f>
        <v/>
      </c>
      <c r="L14" s="5">
        <f>(D14-C14)-(I14+J14+K14)</f>
        <v/>
      </c>
    </row>
    <row r="15">
      <c r="A15" t="inlineStr">
        <is>
          <t>LMT</t>
        </is>
      </c>
      <c r="B15" t="n">
        <v>2023</v>
      </c>
      <c r="C15" s="5">
        <f>SUM(LMT!R3:U3)</f>
        <v/>
      </c>
      <c r="D15" s="5">
        <f>SUM(LMT!V3:Y3)</f>
        <v/>
      </c>
      <c r="E15" s="5">
        <f>LMT!Q2</f>
        <v/>
      </c>
      <c r="F15" s="5">
        <f>LMT!U2</f>
        <v/>
      </c>
      <c r="G15" s="6">
        <f>C15/E15</f>
        <v/>
      </c>
      <c r="H15" s="6">
        <f>D15/F15</f>
        <v/>
      </c>
      <c r="I15" s="5">
        <f>(F15-E15)*G15</f>
        <v/>
      </c>
      <c r="J15" s="5">
        <f>E15*(H15-G15)</f>
        <v/>
      </c>
      <c r="K15" s="5">
        <f>(F15-E15)*(H15-G15)</f>
        <v/>
      </c>
      <c r="L15" s="5">
        <f>(D15-C15)-(I15+J15+K15)</f>
        <v/>
      </c>
    </row>
    <row r="16">
      <c r="A16" t="inlineStr">
        <is>
          <t>LMT</t>
        </is>
      </c>
      <c r="B16" t="n">
        <v>2024</v>
      </c>
      <c r="C16" s="5">
        <f>SUM(LMT!V3:Y3)</f>
        <v/>
      </c>
      <c r="D16" s="5">
        <f>SUM(LMT!Z3:AC3)</f>
        <v/>
      </c>
      <c r="E16" s="5">
        <f>LMT!U2</f>
        <v/>
      </c>
      <c r="F16" s="5">
        <f>LMT!Y2</f>
        <v/>
      </c>
      <c r="G16" s="6">
        <f>C16/E16</f>
        <v/>
      </c>
      <c r="H16" s="6">
        <f>D16/F16</f>
        <v/>
      </c>
      <c r="I16" s="5">
        <f>(F16-E16)*G16</f>
        <v/>
      </c>
      <c r="J16" s="5">
        <f>E16*(H16-G16)</f>
        <v/>
      </c>
      <c r="K16" s="5">
        <f>(F16-E16)*(H16-G16)</f>
        <v/>
      </c>
      <c r="L16" s="5">
        <f>(D16-C16)-(I16+J16+K16)</f>
        <v/>
      </c>
    </row>
    <row r="17">
      <c r="A17" t="inlineStr">
        <is>
          <t>LMT</t>
        </is>
      </c>
      <c r="B17" t="n">
        <v>2025</v>
      </c>
      <c r="C17" s="5">
        <f>SUM(LMT!Z3:AC3)</f>
        <v/>
      </c>
      <c r="D17" s="5">
        <f>SUM(LMT!AD3:AG3)</f>
        <v/>
      </c>
      <c r="E17" s="5">
        <f>LMT!Y2</f>
        <v/>
      </c>
      <c r="F17" s="5">
        <f>LMT!AC2</f>
        <v/>
      </c>
      <c r="G17" s="6">
        <f>C17/E17</f>
        <v/>
      </c>
      <c r="H17" s="6">
        <f>D17/F17</f>
        <v/>
      </c>
      <c r="I17" s="5">
        <f>(F17-E17)*G17</f>
        <v/>
      </c>
      <c r="J17" s="5">
        <f>E17*(H17-G17)</f>
        <v/>
      </c>
      <c r="K17" s="5">
        <f>(F17-E17)*(H17-G17)</f>
        <v/>
      </c>
      <c r="L17" s="5">
        <f>(D17-C17)-(I17+J17+K17)</f>
        <v/>
      </c>
    </row>
    <row r="18">
      <c r="A18" t="inlineStr">
        <is>
          <t>NOC</t>
        </is>
      </c>
      <c r="B18" t="n">
        <v>2020</v>
      </c>
      <c r="C18" s="5">
        <f>SUM(NOC!D3:G3)</f>
        <v/>
      </c>
      <c r="D18" s="5">
        <f>SUM(NOC!H3:K3)</f>
        <v/>
      </c>
      <c r="E18" s="5">
        <f>NOC!C2</f>
        <v/>
      </c>
      <c r="F18" s="5">
        <f>NOC!G2</f>
        <v/>
      </c>
      <c r="G18" s="6">
        <f>C18/E18</f>
        <v/>
      </c>
      <c r="H18" s="6">
        <f>D18/F18</f>
        <v/>
      </c>
      <c r="I18" s="5">
        <f>(F18-E18)*G18</f>
        <v/>
      </c>
      <c r="J18" s="5">
        <f>E18*(H18-G18)</f>
        <v/>
      </c>
      <c r="K18" s="5">
        <f>(F18-E18)*(H18-G18)</f>
        <v/>
      </c>
      <c r="L18" s="5">
        <f>(D18-C18)-(I18+J18+K18)</f>
        <v/>
      </c>
    </row>
    <row r="19">
      <c r="A19" t="inlineStr">
        <is>
          <t>NOC</t>
        </is>
      </c>
      <c r="B19" t="n">
        <v>2021</v>
      </c>
      <c r="C19" s="5">
        <f>SUM(NOC!H3:K3)</f>
        <v/>
      </c>
      <c r="D19" s="5">
        <f>SUM(NOC!L3:O3)</f>
        <v/>
      </c>
      <c r="E19" s="5">
        <f>NOC!G2</f>
        <v/>
      </c>
      <c r="F19" s="5">
        <f>NOC!K2</f>
        <v/>
      </c>
      <c r="G19" s="6">
        <f>C19/E19</f>
        <v/>
      </c>
      <c r="H19" s="6">
        <f>D19/F19</f>
        <v/>
      </c>
      <c r="I19" s="5">
        <f>(F19-E19)*G19</f>
        <v/>
      </c>
      <c r="J19" s="5">
        <f>E19*(H19-G19)</f>
        <v/>
      </c>
      <c r="K19" s="5">
        <f>(F19-E19)*(H19-G19)</f>
        <v/>
      </c>
      <c r="L19" s="5">
        <f>(D19-C19)-(I19+J19+K19)</f>
        <v/>
      </c>
    </row>
    <row r="20">
      <c r="A20" t="inlineStr">
        <is>
          <t>NOC</t>
        </is>
      </c>
      <c r="B20" t="n">
        <v>2022</v>
      </c>
      <c r="C20" s="5">
        <f>SUM(NOC!L3:O3)</f>
        <v/>
      </c>
      <c r="D20" s="5">
        <f>SUM(NOC!P3:S3)</f>
        <v/>
      </c>
      <c r="E20" s="5">
        <f>NOC!K2</f>
        <v/>
      </c>
      <c r="F20" s="5">
        <f>NOC!O2</f>
        <v/>
      </c>
      <c r="G20" s="6">
        <f>C20/E20</f>
        <v/>
      </c>
      <c r="H20" s="6">
        <f>D20/F20</f>
        <v/>
      </c>
      <c r="I20" s="5">
        <f>(F20-E20)*G20</f>
        <v/>
      </c>
      <c r="J20" s="5">
        <f>E20*(H20-G20)</f>
        <v/>
      </c>
      <c r="K20" s="5">
        <f>(F20-E20)*(H20-G20)</f>
        <v/>
      </c>
      <c r="L20" s="5">
        <f>(D20-C20)-(I20+J20+K20)</f>
        <v/>
      </c>
    </row>
    <row r="21">
      <c r="A21" t="inlineStr">
        <is>
          <t>NOC</t>
        </is>
      </c>
      <c r="B21" t="n">
        <v>2023</v>
      </c>
      <c r="C21" s="5">
        <f>SUM(NOC!P3:S3)</f>
        <v/>
      </c>
      <c r="D21" s="5">
        <f>SUM(NOC!T3:W3)</f>
        <v/>
      </c>
      <c r="E21" s="5">
        <f>NOC!O2</f>
        <v/>
      </c>
      <c r="F21" s="5">
        <f>NOC!S2</f>
        <v/>
      </c>
      <c r="G21" s="6">
        <f>C21/E21</f>
        <v/>
      </c>
      <c r="H21" s="6">
        <f>D21/F21</f>
        <v/>
      </c>
      <c r="I21" s="5">
        <f>(F21-E21)*G21</f>
        <v/>
      </c>
      <c r="J21" s="5">
        <f>E21*(H21-G21)</f>
        <v/>
      </c>
      <c r="K21" s="5">
        <f>(F21-E21)*(H21-G21)</f>
        <v/>
      </c>
      <c r="L21" s="5">
        <f>(D21-C21)-(I21+J21+K21)</f>
        <v/>
      </c>
    </row>
    <row r="22">
      <c r="A22" t="inlineStr">
        <is>
          <t>NOC</t>
        </is>
      </c>
      <c r="B22" t="n">
        <v>2024</v>
      </c>
      <c r="C22" s="5">
        <f>SUM(NOC!T3:W3)</f>
        <v/>
      </c>
      <c r="D22" s="5">
        <f>SUM(NOC!X3:AA3)</f>
        <v/>
      </c>
      <c r="E22" s="5">
        <f>NOC!S2</f>
        <v/>
      </c>
      <c r="F22" s="5">
        <f>NOC!W2</f>
        <v/>
      </c>
      <c r="G22" s="6">
        <f>C22/E22</f>
        <v/>
      </c>
      <c r="H22" s="6">
        <f>D22/F22</f>
        <v/>
      </c>
      <c r="I22" s="5">
        <f>(F22-E22)*G22</f>
        <v/>
      </c>
      <c r="J22" s="5">
        <f>E22*(H22-G22)</f>
        <v/>
      </c>
      <c r="K22" s="5">
        <f>(F22-E22)*(H22-G22)</f>
        <v/>
      </c>
      <c r="L22" s="5">
        <f>(D22-C22)-(I22+J22+K22)</f>
        <v/>
      </c>
    </row>
    <row r="23">
      <c r="A23" t="inlineStr">
        <is>
          <t>NOC</t>
        </is>
      </c>
      <c r="B23" t="n">
        <v>2025</v>
      </c>
      <c r="C23" s="5">
        <f>SUM(NOC!X3:AA3)</f>
        <v/>
      </c>
      <c r="D23" s="5">
        <f>SUM(NOC!AB3:AE3)</f>
        <v/>
      </c>
      <c r="E23" s="5">
        <f>NOC!W2</f>
        <v/>
      </c>
      <c r="F23" s="5">
        <f>NOC!AA2</f>
        <v/>
      </c>
      <c r="G23" s="6">
        <f>C23/E23</f>
        <v/>
      </c>
      <c r="H23" s="6">
        <f>D23/F23</f>
        <v/>
      </c>
      <c r="I23" s="5">
        <f>(F23-E23)*G23</f>
        <v/>
      </c>
      <c r="J23" s="5">
        <f>E23*(H23-G23)</f>
        <v/>
      </c>
      <c r="K23" s="5">
        <f>(F23-E23)*(H23-G23)</f>
        <v/>
      </c>
      <c r="L23" s="5">
        <f>(D23-C23)-(I23+J23+K23)</f>
        <v/>
      </c>
    </row>
    <row r="24">
      <c r="A24" t="inlineStr">
        <is>
          <t>RTX</t>
        </is>
      </c>
      <c r="B24" t="n">
        <v>2022</v>
      </c>
      <c r="C24" s="5">
        <f>SUM(RTX!E3:H3)</f>
        <v/>
      </c>
      <c r="D24" s="5">
        <f>SUM(RTX!I3:L3)</f>
        <v/>
      </c>
      <c r="E24" s="5">
        <f>RTX!D2</f>
        <v/>
      </c>
      <c r="F24" s="5">
        <f>RTX!H2</f>
        <v/>
      </c>
      <c r="G24" s="6">
        <f>C24/E24</f>
        <v/>
      </c>
      <c r="H24" s="6">
        <f>D24/F24</f>
        <v/>
      </c>
      <c r="I24" s="5">
        <f>(F24-E24)*G24</f>
        <v/>
      </c>
      <c r="J24" s="5">
        <f>E24*(H24-G24)</f>
        <v/>
      </c>
      <c r="K24" s="5">
        <f>(F24-E24)*(H24-G24)</f>
        <v/>
      </c>
      <c r="L24" s="5">
        <f>(D24-C24)-(I24+J24+K24)</f>
        <v/>
      </c>
    </row>
    <row r="25">
      <c r="A25" t="inlineStr">
        <is>
          <t>RTX</t>
        </is>
      </c>
      <c r="B25" t="n">
        <v>2023</v>
      </c>
      <c r="C25" s="5">
        <f>SUM(RTX!I3:L3)</f>
        <v/>
      </c>
      <c r="D25" s="5">
        <f>SUM(RTX!M3:P3)</f>
        <v/>
      </c>
      <c r="E25" s="5">
        <f>RTX!H2</f>
        <v/>
      </c>
      <c r="F25" s="5">
        <f>RTX!L2</f>
        <v/>
      </c>
      <c r="G25" s="6">
        <f>C25/E25</f>
        <v/>
      </c>
      <c r="H25" s="6">
        <f>D25/F25</f>
        <v/>
      </c>
      <c r="I25" s="5">
        <f>(F25-E25)*G25</f>
        <v/>
      </c>
      <c r="J25" s="5">
        <f>E25*(H25-G25)</f>
        <v/>
      </c>
      <c r="K25" s="5">
        <f>(F25-E25)*(H25-G25)</f>
        <v/>
      </c>
      <c r="L25" s="5">
        <f>(D25-C25)-(I25+J25+K25)</f>
        <v/>
      </c>
    </row>
    <row r="26">
      <c r="A26" t="inlineStr">
        <is>
          <t>RTX</t>
        </is>
      </c>
      <c r="B26" t="n">
        <v>2024</v>
      </c>
      <c r="C26" s="5">
        <f>SUM(RTX!M3:P3)</f>
        <v/>
      </c>
      <c r="D26" s="5">
        <f>SUM(RTX!Q3:T3)</f>
        <v/>
      </c>
      <c r="E26" s="5">
        <f>RTX!L2</f>
        <v/>
      </c>
      <c r="F26" s="5">
        <f>RTX!P2</f>
        <v/>
      </c>
      <c r="G26" s="6">
        <f>C26/E26</f>
        <v/>
      </c>
      <c r="H26" s="6">
        <f>D26/F26</f>
        <v/>
      </c>
      <c r="I26" s="5">
        <f>(F26-E26)*G26</f>
        <v/>
      </c>
      <c r="J26" s="5">
        <f>E26*(H26-G26)</f>
        <v/>
      </c>
      <c r="K26" s="5">
        <f>(F26-E26)*(H26-G26)</f>
        <v/>
      </c>
      <c r="L26" s="5">
        <f>(D26-C26)-(I26+J26+K26)</f>
        <v/>
      </c>
    </row>
    <row r="27">
      <c r="A27" t="inlineStr">
        <is>
          <t>RTX</t>
        </is>
      </c>
      <c r="B27" t="n">
        <v>2025</v>
      </c>
      <c r="C27" s="5">
        <f>SUM(RTX!Q3:T3)</f>
        <v/>
      </c>
      <c r="D27" s="5">
        <f>SUM(RTX!U3:X3)</f>
        <v/>
      </c>
      <c r="E27" s="5">
        <f>RTX!P2</f>
        <v/>
      </c>
      <c r="F27" s="5">
        <f>RTX!T2</f>
        <v/>
      </c>
      <c r="G27" s="6">
        <f>C27/E27</f>
        <v/>
      </c>
      <c r="H27" s="6">
        <f>D27/F27</f>
        <v/>
      </c>
      <c r="I27" s="5">
        <f>(F27-E27)*G27</f>
        <v/>
      </c>
      <c r="J27" s="5">
        <f>E27*(H27-G27)</f>
        <v/>
      </c>
      <c r="K27" s="5">
        <f>(F27-E27)*(H27-G27)</f>
        <v/>
      </c>
      <c r="L27" s="5">
        <f>(D27-C27)-(I27+J27+K27)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Ticker</t>
        </is>
      </c>
      <c r="B1" s="1" t="inlineStr">
        <is>
          <t>Backlog shock %</t>
        </is>
      </c>
      <c r="C1" s="1" t="inlineStr">
        <is>
          <t>Conversion shift pp</t>
        </is>
      </c>
      <c r="D1" s="1" t="inlineStr">
        <is>
          <t>Forward revenue</t>
        </is>
      </c>
    </row>
    <row r="2">
      <c r="A2" t="inlineStr">
        <is>
          <t>HII</t>
        </is>
      </c>
      <c r="B2" s="8" t="n">
        <v>-10</v>
      </c>
      <c r="C2" s="8" t="n">
        <v>-3</v>
      </c>
      <c r="D2" s="5">
        <f>HII!AI2*(1+B2/100)*(AVERAGE(HII!AB7:AE7)+C2/100)</f>
        <v/>
      </c>
    </row>
    <row r="3">
      <c r="A3" t="inlineStr">
        <is>
          <t>HII</t>
        </is>
      </c>
      <c r="B3" s="8" t="n">
        <v>-10</v>
      </c>
      <c r="C3" s="8" t="n">
        <v>-1.5</v>
      </c>
      <c r="D3" s="5">
        <f>HII!AI2*(1+B3/100)*(AVERAGE(HII!AB7:AE7)+C3/100)</f>
        <v/>
      </c>
    </row>
    <row r="4">
      <c r="A4" t="inlineStr">
        <is>
          <t>HII</t>
        </is>
      </c>
      <c r="B4" s="8" t="n">
        <v>-10</v>
      </c>
      <c r="C4" s="8" t="n">
        <v>0</v>
      </c>
      <c r="D4" s="5">
        <f>HII!AI2*(1+B4/100)*(AVERAGE(HII!AB7:AE7)+C4/100)</f>
        <v/>
      </c>
    </row>
    <row r="5">
      <c r="A5" t="inlineStr">
        <is>
          <t>HII</t>
        </is>
      </c>
      <c r="B5" s="8" t="n">
        <v>-10</v>
      </c>
      <c r="C5" s="8" t="n">
        <v>1.5</v>
      </c>
      <c r="D5" s="5">
        <f>HII!AI2*(1+B5/100)*(AVERAGE(HII!AB7:AE7)+C5/100)</f>
        <v/>
      </c>
    </row>
    <row r="6">
      <c r="A6" t="inlineStr">
        <is>
          <t>HII</t>
        </is>
      </c>
      <c r="B6" s="8" t="n">
        <v>-10</v>
      </c>
      <c r="C6" s="8" t="n">
        <v>3</v>
      </c>
      <c r="D6" s="5">
        <f>HII!AI2*(1+B6/100)*(AVERAGE(HII!AB7:AE7)+C6/100)</f>
        <v/>
      </c>
    </row>
    <row r="7">
      <c r="A7" t="inlineStr">
        <is>
          <t>HII</t>
        </is>
      </c>
      <c r="B7" s="8" t="n">
        <v>-5</v>
      </c>
      <c r="C7" s="8" t="n">
        <v>-3</v>
      </c>
      <c r="D7" s="5">
        <f>HII!AI2*(1+B7/100)*(AVERAGE(HII!AB7:AE7)+C7/100)</f>
        <v/>
      </c>
    </row>
    <row r="8">
      <c r="A8" t="inlineStr">
        <is>
          <t>HII</t>
        </is>
      </c>
      <c r="B8" s="8" t="n">
        <v>-5</v>
      </c>
      <c r="C8" s="8" t="n">
        <v>-1.5</v>
      </c>
      <c r="D8" s="5">
        <f>HII!AI2*(1+B8/100)*(AVERAGE(HII!AB7:AE7)+C8/100)</f>
        <v/>
      </c>
    </row>
    <row r="9">
      <c r="A9" t="inlineStr">
        <is>
          <t>HII</t>
        </is>
      </c>
      <c r="B9" s="8" t="n">
        <v>-5</v>
      </c>
      <c r="C9" s="8" t="n">
        <v>0</v>
      </c>
      <c r="D9" s="5">
        <f>HII!AI2*(1+B9/100)*(AVERAGE(HII!AB7:AE7)+C9/100)</f>
        <v/>
      </c>
    </row>
    <row r="10">
      <c r="A10" t="inlineStr">
        <is>
          <t>HII</t>
        </is>
      </c>
      <c r="B10" s="8" t="n">
        <v>-5</v>
      </c>
      <c r="C10" s="8" t="n">
        <v>1.5</v>
      </c>
      <c r="D10" s="5">
        <f>HII!AI2*(1+B10/100)*(AVERAGE(HII!AB7:AE7)+C10/100)</f>
        <v/>
      </c>
    </row>
    <row r="11">
      <c r="A11" t="inlineStr">
        <is>
          <t>HII</t>
        </is>
      </c>
      <c r="B11" s="8" t="n">
        <v>-5</v>
      </c>
      <c r="C11" s="8" t="n">
        <v>3</v>
      </c>
      <c r="D11" s="5">
        <f>HII!AI2*(1+B11/100)*(AVERAGE(HII!AB7:AE7)+C11/100)</f>
        <v/>
      </c>
    </row>
    <row r="12">
      <c r="A12" t="inlineStr">
        <is>
          <t>HII</t>
        </is>
      </c>
      <c r="B12" s="8" t="n">
        <v>0</v>
      </c>
      <c r="C12" s="8" t="n">
        <v>-3</v>
      </c>
      <c r="D12" s="5">
        <f>HII!AI2*(1+B12/100)*(AVERAGE(HII!AB7:AE7)+C12/100)</f>
        <v/>
      </c>
    </row>
    <row r="13">
      <c r="A13" t="inlineStr">
        <is>
          <t>HII</t>
        </is>
      </c>
      <c r="B13" s="8" t="n">
        <v>0</v>
      </c>
      <c r="C13" s="8" t="n">
        <v>-1.5</v>
      </c>
      <c r="D13" s="5">
        <f>HII!AI2*(1+B13/100)*(AVERAGE(HII!AB7:AE7)+C13/100)</f>
        <v/>
      </c>
    </row>
    <row r="14">
      <c r="A14" t="inlineStr">
        <is>
          <t>HII</t>
        </is>
      </c>
      <c r="B14" s="8" t="n">
        <v>0</v>
      </c>
      <c r="C14" s="8" t="n">
        <v>0</v>
      </c>
      <c r="D14" s="5">
        <f>HII!AI2*(1+B14/100)*(AVERAGE(HII!AB7:AE7)+C14/100)</f>
        <v/>
      </c>
    </row>
    <row r="15">
      <c r="A15" t="inlineStr">
        <is>
          <t>HII</t>
        </is>
      </c>
      <c r="B15" s="8" t="n">
        <v>0</v>
      </c>
      <c r="C15" s="8" t="n">
        <v>1.5</v>
      </c>
      <c r="D15" s="5">
        <f>HII!AI2*(1+B15/100)*(AVERAGE(HII!AB7:AE7)+C15/100)</f>
        <v/>
      </c>
    </row>
    <row r="16">
      <c r="A16" t="inlineStr">
        <is>
          <t>HII</t>
        </is>
      </c>
      <c r="B16" s="8" t="n">
        <v>0</v>
      </c>
      <c r="C16" s="8" t="n">
        <v>3</v>
      </c>
      <c r="D16" s="5">
        <f>HII!AI2*(1+B16/100)*(AVERAGE(HII!AB7:AE7)+C16/100)</f>
        <v/>
      </c>
    </row>
    <row r="17">
      <c r="A17" t="inlineStr">
        <is>
          <t>HII</t>
        </is>
      </c>
      <c r="B17" s="8" t="n">
        <v>5</v>
      </c>
      <c r="C17" s="8" t="n">
        <v>-3</v>
      </c>
      <c r="D17" s="5">
        <f>HII!AI2*(1+B17/100)*(AVERAGE(HII!AB7:AE7)+C17/100)</f>
        <v/>
      </c>
    </row>
    <row r="18">
      <c r="A18" t="inlineStr">
        <is>
          <t>HII</t>
        </is>
      </c>
      <c r="B18" s="8" t="n">
        <v>5</v>
      </c>
      <c r="C18" s="8" t="n">
        <v>-1.5</v>
      </c>
      <c r="D18" s="5">
        <f>HII!AI2*(1+B18/100)*(AVERAGE(HII!AB7:AE7)+C18/100)</f>
        <v/>
      </c>
    </row>
    <row r="19">
      <c r="A19" t="inlineStr">
        <is>
          <t>HII</t>
        </is>
      </c>
      <c r="B19" s="8" t="n">
        <v>5</v>
      </c>
      <c r="C19" s="8" t="n">
        <v>0</v>
      </c>
      <c r="D19" s="5">
        <f>HII!AI2*(1+B19/100)*(AVERAGE(HII!AB7:AE7)+C19/100)</f>
        <v/>
      </c>
    </row>
    <row r="20">
      <c r="A20" t="inlineStr">
        <is>
          <t>HII</t>
        </is>
      </c>
      <c r="B20" s="8" t="n">
        <v>5</v>
      </c>
      <c r="C20" s="8" t="n">
        <v>1.5</v>
      </c>
      <c r="D20" s="5">
        <f>HII!AI2*(1+B20/100)*(AVERAGE(HII!AB7:AE7)+C20/100)</f>
        <v/>
      </c>
    </row>
    <row r="21">
      <c r="A21" t="inlineStr">
        <is>
          <t>HII</t>
        </is>
      </c>
      <c r="B21" s="8" t="n">
        <v>5</v>
      </c>
      <c r="C21" s="8" t="n">
        <v>3</v>
      </c>
      <c r="D21" s="5">
        <f>HII!AI2*(1+B21/100)*(AVERAGE(HII!AB7:AE7)+C21/100)</f>
        <v/>
      </c>
    </row>
    <row r="22">
      <c r="A22" t="inlineStr">
        <is>
          <t>HII</t>
        </is>
      </c>
      <c r="B22" s="8" t="n">
        <v>10</v>
      </c>
      <c r="C22" s="8" t="n">
        <v>-3</v>
      </c>
      <c r="D22" s="5">
        <f>HII!AI2*(1+B22/100)*(AVERAGE(HII!AB7:AE7)+C22/100)</f>
        <v/>
      </c>
    </row>
    <row r="23">
      <c r="A23" t="inlineStr">
        <is>
          <t>HII</t>
        </is>
      </c>
      <c r="B23" s="8" t="n">
        <v>10</v>
      </c>
      <c r="C23" s="8" t="n">
        <v>-1.5</v>
      </c>
      <c r="D23" s="5">
        <f>HII!AI2*(1+B23/100)*(AVERAGE(HII!AB7:AE7)+C23/100)</f>
        <v/>
      </c>
    </row>
    <row r="24">
      <c r="A24" t="inlineStr">
        <is>
          <t>HII</t>
        </is>
      </c>
      <c r="B24" s="8" t="n">
        <v>10</v>
      </c>
      <c r="C24" s="8" t="n">
        <v>0</v>
      </c>
      <c r="D24" s="5">
        <f>HII!AI2*(1+B24/100)*(AVERAGE(HII!AB7:AE7)+C24/100)</f>
        <v/>
      </c>
    </row>
    <row r="25">
      <c r="A25" t="inlineStr">
        <is>
          <t>HII</t>
        </is>
      </c>
      <c r="B25" s="8" t="n">
        <v>10</v>
      </c>
      <c r="C25" s="8" t="n">
        <v>1.5</v>
      </c>
      <c r="D25" s="5">
        <f>HII!AI2*(1+B25/100)*(AVERAGE(HII!AB7:AE7)+C25/100)</f>
        <v/>
      </c>
    </row>
    <row r="26">
      <c r="A26" t="inlineStr">
        <is>
          <t>HII</t>
        </is>
      </c>
      <c r="B26" s="8" t="n">
        <v>10</v>
      </c>
      <c r="C26" s="8" t="n">
        <v>3</v>
      </c>
      <c r="D26" s="5">
        <f>HII!AI2*(1+B26/100)*(AVERAGE(HII!AB7:AE7)+C26/100)</f>
        <v/>
      </c>
    </row>
    <row r="27">
      <c r="A27" t="inlineStr">
        <is>
          <t>LHX</t>
        </is>
      </c>
      <c r="B27" s="8" t="n">
        <v>-10</v>
      </c>
      <c r="C27" s="8" t="n">
        <v>-3</v>
      </c>
      <c r="D27" s="5">
        <f>LHX!AA2*(1+B27/100)*(AVERAGE(LHX!T7:W7)+C27/100)</f>
        <v/>
      </c>
    </row>
    <row r="28">
      <c r="A28" t="inlineStr">
        <is>
          <t>LHX</t>
        </is>
      </c>
      <c r="B28" s="8" t="n">
        <v>-10</v>
      </c>
      <c r="C28" s="8" t="n">
        <v>-1.5</v>
      </c>
      <c r="D28" s="5">
        <f>LHX!AA2*(1+B28/100)*(AVERAGE(LHX!T7:W7)+C28/100)</f>
        <v/>
      </c>
    </row>
    <row r="29">
      <c r="A29" t="inlineStr">
        <is>
          <t>LHX</t>
        </is>
      </c>
      <c r="B29" s="8" t="n">
        <v>-10</v>
      </c>
      <c r="C29" s="8" t="n">
        <v>0</v>
      </c>
      <c r="D29" s="5">
        <f>LHX!AA2*(1+B29/100)*(AVERAGE(LHX!T7:W7)+C29/100)</f>
        <v/>
      </c>
    </row>
    <row r="30">
      <c r="A30" t="inlineStr">
        <is>
          <t>LHX</t>
        </is>
      </c>
      <c r="B30" s="8" t="n">
        <v>-10</v>
      </c>
      <c r="C30" s="8" t="n">
        <v>1.5</v>
      </c>
      <c r="D30" s="5">
        <f>LHX!AA2*(1+B30/100)*(AVERAGE(LHX!T7:W7)+C30/100)</f>
        <v/>
      </c>
    </row>
    <row r="31">
      <c r="A31" t="inlineStr">
        <is>
          <t>LHX</t>
        </is>
      </c>
      <c r="B31" s="8" t="n">
        <v>-10</v>
      </c>
      <c r="C31" s="8" t="n">
        <v>3</v>
      </c>
      <c r="D31" s="5">
        <f>LHX!AA2*(1+B31/100)*(AVERAGE(LHX!T7:W7)+C31/100)</f>
        <v/>
      </c>
    </row>
    <row r="32">
      <c r="A32" t="inlineStr">
        <is>
          <t>LHX</t>
        </is>
      </c>
      <c r="B32" s="8" t="n">
        <v>-5</v>
      </c>
      <c r="C32" s="8" t="n">
        <v>-3</v>
      </c>
      <c r="D32" s="5">
        <f>LHX!AA2*(1+B32/100)*(AVERAGE(LHX!T7:W7)+C32/100)</f>
        <v/>
      </c>
    </row>
    <row r="33">
      <c r="A33" t="inlineStr">
        <is>
          <t>LHX</t>
        </is>
      </c>
      <c r="B33" s="8" t="n">
        <v>-5</v>
      </c>
      <c r="C33" s="8" t="n">
        <v>-1.5</v>
      </c>
      <c r="D33" s="5">
        <f>LHX!AA2*(1+B33/100)*(AVERAGE(LHX!T7:W7)+C33/100)</f>
        <v/>
      </c>
    </row>
    <row r="34">
      <c r="A34" t="inlineStr">
        <is>
          <t>LHX</t>
        </is>
      </c>
      <c r="B34" s="8" t="n">
        <v>-5</v>
      </c>
      <c r="C34" s="8" t="n">
        <v>0</v>
      </c>
      <c r="D34" s="5">
        <f>LHX!AA2*(1+B34/100)*(AVERAGE(LHX!T7:W7)+C34/100)</f>
        <v/>
      </c>
    </row>
    <row r="35">
      <c r="A35" t="inlineStr">
        <is>
          <t>LHX</t>
        </is>
      </c>
      <c r="B35" s="8" t="n">
        <v>-5</v>
      </c>
      <c r="C35" s="8" t="n">
        <v>1.5</v>
      </c>
      <c r="D35" s="5">
        <f>LHX!AA2*(1+B35/100)*(AVERAGE(LHX!T7:W7)+C35/100)</f>
        <v/>
      </c>
    </row>
    <row r="36">
      <c r="A36" t="inlineStr">
        <is>
          <t>LHX</t>
        </is>
      </c>
      <c r="B36" s="8" t="n">
        <v>-5</v>
      </c>
      <c r="C36" s="8" t="n">
        <v>3</v>
      </c>
      <c r="D36" s="5">
        <f>LHX!AA2*(1+B36/100)*(AVERAGE(LHX!T7:W7)+C36/100)</f>
        <v/>
      </c>
    </row>
    <row r="37">
      <c r="A37" t="inlineStr">
        <is>
          <t>LHX</t>
        </is>
      </c>
      <c r="B37" s="8" t="n">
        <v>0</v>
      </c>
      <c r="C37" s="8" t="n">
        <v>-3</v>
      </c>
      <c r="D37" s="5">
        <f>LHX!AA2*(1+B37/100)*(AVERAGE(LHX!T7:W7)+C37/100)</f>
        <v/>
      </c>
    </row>
    <row r="38">
      <c r="A38" t="inlineStr">
        <is>
          <t>LHX</t>
        </is>
      </c>
      <c r="B38" s="8" t="n">
        <v>0</v>
      </c>
      <c r="C38" s="8" t="n">
        <v>-1.5</v>
      </c>
      <c r="D38" s="5">
        <f>LHX!AA2*(1+B38/100)*(AVERAGE(LHX!T7:W7)+C38/100)</f>
        <v/>
      </c>
    </row>
    <row r="39">
      <c r="A39" t="inlineStr">
        <is>
          <t>LHX</t>
        </is>
      </c>
      <c r="B39" s="8" t="n">
        <v>0</v>
      </c>
      <c r="C39" s="8" t="n">
        <v>0</v>
      </c>
      <c r="D39" s="5">
        <f>LHX!AA2*(1+B39/100)*(AVERAGE(LHX!T7:W7)+C39/100)</f>
        <v/>
      </c>
    </row>
    <row r="40">
      <c r="A40" t="inlineStr">
        <is>
          <t>LHX</t>
        </is>
      </c>
      <c r="B40" s="8" t="n">
        <v>0</v>
      </c>
      <c r="C40" s="8" t="n">
        <v>1.5</v>
      </c>
      <c r="D40" s="5">
        <f>LHX!AA2*(1+B40/100)*(AVERAGE(LHX!T7:W7)+C40/100)</f>
        <v/>
      </c>
    </row>
    <row r="41">
      <c r="A41" t="inlineStr">
        <is>
          <t>LHX</t>
        </is>
      </c>
      <c r="B41" s="8" t="n">
        <v>0</v>
      </c>
      <c r="C41" s="8" t="n">
        <v>3</v>
      </c>
      <c r="D41" s="5">
        <f>LHX!AA2*(1+B41/100)*(AVERAGE(LHX!T7:W7)+C41/100)</f>
        <v/>
      </c>
    </row>
    <row r="42">
      <c r="A42" t="inlineStr">
        <is>
          <t>LHX</t>
        </is>
      </c>
      <c r="B42" s="8" t="n">
        <v>5</v>
      </c>
      <c r="C42" s="8" t="n">
        <v>-3</v>
      </c>
      <c r="D42" s="5">
        <f>LHX!AA2*(1+B42/100)*(AVERAGE(LHX!T7:W7)+C42/100)</f>
        <v/>
      </c>
    </row>
    <row r="43">
      <c r="A43" t="inlineStr">
        <is>
          <t>LHX</t>
        </is>
      </c>
      <c r="B43" s="8" t="n">
        <v>5</v>
      </c>
      <c r="C43" s="8" t="n">
        <v>-1.5</v>
      </c>
      <c r="D43" s="5">
        <f>LHX!AA2*(1+B43/100)*(AVERAGE(LHX!T7:W7)+C43/100)</f>
        <v/>
      </c>
    </row>
    <row r="44">
      <c r="A44" t="inlineStr">
        <is>
          <t>LHX</t>
        </is>
      </c>
      <c r="B44" s="8" t="n">
        <v>5</v>
      </c>
      <c r="C44" s="8" t="n">
        <v>0</v>
      </c>
      <c r="D44" s="5">
        <f>LHX!AA2*(1+B44/100)*(AVERAGE(LHX!T7:W7)+C44/100)</f>
        <v/>
      </c>
    </row>
    <row r="45">
      <c r="A45" t="inlineStr">
        <is>
          <t>LHX</t>
        </is>
      </c>
      <c r="B45" s="8" t="n">
        <v>5</v>
      </c>
      <c r="C45" s="8" t="n">
        <v>1.5</v>
      </c>
      <c r="D45" s="5">
        <f>LHX!AA2*(1+B45/100)*(AVERAGE(LHX!T7:W7)+C45/100)</f>
        <v/>
      </c>
    </row>
    <row r="46">
      <c r="A46" t="inlineStr">
        <is>
          <t>LHX</t>
        </is>
      </c>
      <c r="B46" s="8" t="n">
        <v>5</v>
      </c>
      <c r="C46" s="8" t="n">
        <v>3</v>
      </c>
      <c r="D46" s="5">
        <f>LHX!AA2*(1+B46/100)*(AVERAGE(LHX!T7:W7)+C46/100)</f>
        <v/>
      </c>
    </row>
    <row r="47">
      <c r="A47" t="inlineStr">
        <is>
          <t>LHX</t>
        </is>
      </c>
      <c r="B47" s="8" t="n">
        <v>10</v>
      </c>
      <c r="C47" s="8" t="n">
        <v>-3</v>
      </c>
      <c r="D47" s="5">
        <f>LHX!AA2*(1+B47/100)*(AVERAGE(LHX!T7:W7)+C47/100)</f>
        <v/>
      </c>
    </row>
    <row r="48">
      <c r="A48" t="inlineStr">
        <is>
          <t>LHX</t>
        </is>
      </c>
      <c r="B48" s="8" t="n">
        <v>10</v>
      </c>
      <c r="C48" s="8" t="n">
        <v>-1.5</v>
      </c>
      <c r="D48" s="5">
        <f>LHX!AA2*(1+B48/100)*(AVERAGE(LHX!T7:W7)+C48/100)</f>
        <v/>
      </c>
    </row>
    <row r="49">
      <c r="A49" t="inlineStr">
        <is>
          <t>LHX</t>
        </is>
      </c>
      <c r="B49" s="8" t="n">
        <v>10</v>
      </c>
      <c r="C49" s="8" t="n">
        <v>0</v>
      </c>
      <c r="D49" s="5">
        <f>LHX!AA2*(1+B49/100)*(AVERAGE(LHX!T7:W7)+C49/100)</f>
        <v/>
      </c>
    </row>
    <row r="50">
      <c r="A50" t="inlineStr">
        <is>
          <t>LHX</t>
        </is>
      </c>
      <c r="B50" s="8" t="n">
        <v>10</v>
      </c>
      <c r="C50" s="8" t="n">
        <v>1.5</v>
      </c>
      <c r="D50" s="5">
        <f>LHX!AA2*(1+B50/100)*(AVERAGE(LHX!T7:W7)+C50/100)</f>
        <v/>
      </c>
    </row>
    <row r="51">
      <c r="A51" t="inlineStr">
        <is>
          <t>LHX</t>
        </is>
      </c>
      <c r="B51" s="8" t="n">
        <v>10</v>
      </c>
      <c r="C51" s="8" t="n">
        <v>3</v>
      </c>
      <c r="D51" s="5">
        <f>LHX!AA2*(1+B51/100)*(AVERAGE(LHX!T7:W7)+C51/100)</f>
        <v/>
      </c>
    </row>
    <row r="52">
      <c r="A52" t="inlineStr">
        <is>
          <t>LMT</t>
        </is>
      </c>
      <c r="B52" s="8" t="n">
        <v>-10</v>
      </c>
      <c r="C52" s="8" t="n">
        <v>-3</v>
      </c>
      <c r="D52" s="5">
        <f>LMT!AI2*(1+B52/100)*(AVERAGE(LMT!AB7:AE7)+C52/100)</f>
        <v/>
      </c>
    </row>
    <row r="53">
      <c r="A53" t="inlineStr">
        <is>
          <t>LMT</t>
        </is>
      </c>
      <c r="B53" s="8" t="n">
        <v>-10</v>
      </c>
      <c r="C53" s="8" t="n">
        <v>-1.5</v>
      </c>
      <c r="D53" s="5">
        <f>LMT!AI2*(1+B53/100)*(AVERAGE(LMT!AB7:AE7)+C53/100)</f>
        <v/>
      </c>
    </row>
    <row r="54">
      <c r="A54" t="inlineStr">
        <is>
          <t>LMT</t>
        </is>
      </c>
      <c r="B54" s="8" t="n">
        <v>-10</v>
      </c>
      <c r="C54" s="8" t="n">
        <v>0</v>
      </c>
      <c r="D54" s="5">
        <f>LMT!AI2*(1+B54/100)*(AVERAGE(LMT!AB7:AE7)+C54/100)</f>
        <v/>
      </c>
    </row>
    <row r="55">
      <c r="A55" t="inlineStr">
        <is>
          <t>LMT</t>
        </is>
      </c>
      <c r="B55" s="8" t="n">
        <v>-10</v>
      </c>
      <c r="C55" s="8" t="n">
        <v>1.5</v>
      </c>
      <c r="D55" s="5">
        <f>LMT!AI2*(1+B55/100)*(AVERAGE(LMT!AB7:AE7)+C55/100)</f>
        <v/>
      </c>
    </row>
    <row r="56">
      <c r="A56" t="inlineStr">
        <is>
          <t>LMT</t>
        </is>
      </c>
      <c r="B56" s="8" t="n">
        <v>-10</v>
      </c>
      <c r="C56" s="8" t="n">
        <v>3</v>
      </c>
      <c r="D56" s="5">
        <f>LMT!AI2*(1+B56/100)*(AVERAGE(LMT!AB7:AE7)+C56/100)</f>
        <v/>
      </c>
    </row>
    <row r="57">
      <c r="A57" t="inlineStr">
        <is>
          <t>LMT</t>
        </is>
      </c>
      <c r="B57" s="8" t="n">
        <v>-5</v>
      </c>
      <c r="C57" s="8" t="n">
        <v>-3</v>
      </c>
      <c r="D57" s="5">
        <f>LMT!AI2*(1+B57/100)*(AVERAGE(LMT!AB7:AE7)+C57/100)</f>
        <v/>
      </c>
    </row>
    <row r="58">
      <c r="A58" t="inlineStr">
        <is>
          <t>LMT</t>
        </is>
      </c>
      <c r="B58" s="8" t="n">
        <v>-5</v>
      </c>
      <c r="C58" s="8" t="n">
        <v>-1.5</v>
      </c>
      <c r="D58" s="5">
        <f>LMT!AI2*(1+B58/100)*(AVERAGE(LMT!AB7:AE7)+C58/100)</f>
        <v/>
      </c>
    </row>
    <row r="59">
      <c r="A59" t="inlineStr">
        <is>
          <t>LMT</t>
        </is>
      </c>
      <c r="B59" s="8" t="n">
        <v>-5</v>
      </c>
      <c r="C59" s="8" t="n">
        <v>0</v>
      </c>
      <c r="D59" s="5">
        <f>LMT!AI2*(1+B59/100)*(AVERAGE(LMT!AB7:AE7)+C59/100)</f>
        <v/>
      </c>
    </row>
    <row r="60">
      <c r="A60" t="inlineStr">
        <is>
          <t>LMT</t>
        </is>
      </c>
      <c r="B60" s="8" t="n">
        <v>-5</v>
      </c>
      <c r="C60" s="8" t="n">
        <v>1.5</v>
      </c>
      <c r="D60" s="5">
        <f>LMT!AI2*(1+B60/100)*(AVERAGE(LMT!AB7:AE7)+C60/100)</f>
        <v/>
      </c>
    </row>
    <row r="61">
      <c r="A61" t="inlineStr">
        <is>
          <t>LMT</t>
        </is>
      </c>
      <c r="B61" s="8" t="n">
        <v>-5</v>
      </c>
      <c r="C61" s="8" t="n">
        <v>3</v>
      </c>
      <c r="D61" s="5">
        <f>LMT!AI2*(1+B61/100)*(AVERAGE(LMT!AB7:AE7)+C61/100)</f>
        <v/>
      </c>
    </row>
    <row r="62">
      <c r="A62" t="inlineStr">
        <is>
          <t>LMT</t>
        </is>
      </c>
      <c r="B62" s="8" t="n">
        <v>0</v>
      </c>
      <c r="C62" s="8" t="n">
        <v>-3</v>
      </c>
      <c r="D62" s="5">
        <f>LMT!AI2*(1+B62/100)*(AVERAGE(LMT!AB7:AE7)+C62/100)</f>
        <v/>
      </c>
    </row>
    <row r="63">
      <c r="A63" t="inlineStr">
        <is>
          <t>LMT</t>
        </is>
      </c>
      <c r="B63" s="8" t="n">
        <v>0</v>
      </c>
      <c r="C63" s="8" t="n">
        <v>-1.5</v>
      </c>
      <c r="D63" s="5">
        <f>LMT!AI2*(1+B63/100)*(AVERAGE(LMT!AB7:AE7)+C63/100)</f>
        <v/>
      </c>
    </row>
    <row r="64">
      <c r="A64" t="inlineStr">
        <is>
          <t>LMT</t>
        </is>
      </c>
      <c r="B64" s="8" t="n">
        <v>0</v>
      </c>
      <c r="C64" s="8" t="n">
        <v>0</v>
      </c>
      <c r="D64" s="5">
        <f>LMT!AI2*(1+B64/100)*(AVERAGE(LMT!AB7:AE7)+C64/100)</f>
        <v/>
      </c>
    </row>
    <row r="65">
      <c r="A65" t="inlineStr">
        <is>
          <t>LMT</t>
        </is>
      </c>
      <c r="B65" s="8" t="n">
        <v>0</v>
      </c>
      <c r="C65" s="8" t="n">
        <v>1.5</v>
      </c>
      <c r="D65" s="5">
        <f>LMT!AI2*(1+B65/100)*(AVERAGE(LMT!AB7:AE7)+C65/100)</f>
        <v/>
      </c>
    </row>
    <row r="66">
      <c r="A66" t="inlineStr">
        <is>
          <t>LMT</t>
        </is>
      </c>
      <c r="B66" s="8" t="n">
        <v>0</v>
      </c>
      <c r="C66" s="8" t="n">
        <v>3</v>
      </c>
      <c r="D66" s="5">
        <f>LMT!AI2*(1+B66/100)*(AVERAGE(LMT!AB7:AE7)+C66/100)</f>
        <v/>
      </c>
    </row>
    <row r="67">
      <c r="A67" t="inlineStr">
        <is>
          <t>LMT</t>
        </is>
      </c>
      <c r="B67" s="8" t="n">
        <v>5</v>
      </c>
      <c r="C67" s="8" t="n">
        <v>-3</v>
      </c>
      <c r="D67" s="5">
        <f>LMT!AI2*(1+B67/100)*(AVERAGE(LMT!AB7:AE7)+C67/100)</f>
        <v/>
      </c>
    </row>
    <row r="68">
      <c r="A68" t="inlineStr">
        <is>
          <t>LMT</t>
        </is>
      </c>
      <c r="B68" s="8" t="n">
        <v>5</v>
      </c>
      <c r="C68" s="8" t="n">
        <v>-1.5</v>
      </c>
      <c r="D68" s="5">
        <f>LMT!AI2*(1+B68/100)*(AVERAGE(LMT!AB7:AE7)+C68/100)</f>
        <v/>
      </c>
    </row>
    <row r="69">
      <c r="A69" t="inlineStr">
        <is>
          <t>LMT</t>
        </is>
      </c>
      <c r="B69" s="8" t="n">
        <v>5</v>
      </c>
      <c r="C69" s="8" t="n">
        <v>0</v>
      </c>
      <c r="D69" s="5">
        <f>LMT!AI2*(1+B69/100)*(AVERAGE(LMT!AB7:AE7)+C69/100)</f>
        <v/>
      </c>
    </row>
    <row r="70">
      <c r="A70" t="inlineStr">
        <is>
          <t>LMT</t>
        </is>
      </c>
      <c r="B70" s="8" t="n">
        <v>5</v>
      </c>
      <c r="C70" s="8" t="n">
        <v>1.5</v>
      </c>
      <c r="D70" s="5">
        <f>LMT!AI2*(1+B70/100)*(AVERAGE(LMT!AB7:AE7)+C70/100)</f>
        <v/>
      </c>
    </row>
    <row r="71">
      <c r="A71" t="inlineStr">
        <is>
          <t>LMT</t>
        </is>
      </c>
      <c r="B71" s="8" t="n">
        <v>5</v>
      </c>
      <c r="C71" s="8" t="n">
        <v>3</v>
      </c>
      <c r="D71" s="5">
        <f>LMT!AI2*(1+B71/100)*(AVERAGE(LMT!AB7:AE7)+C71/100)</f>
        <v/>
      </c>
    </row>
    <row r="72">
      <c r="A72" t="inlineStr">
        <is>
          <t>LMT</t>
        </is>
      </c>
      <c r="B72" s="8" t="n">
        <v>10</v>
      </c>
      <c r="C72" s="8" t="n">
        <v>-3</v>
      </c>
      <c r="D72" s="5">
        <f>LMT!AI2*(1+B72/100)*(AVERAGE(LMT!AB7:AE7)+C72/100)</f>
        <v/>
      </c>
    </row>
    <row r="73">
      <c r="A73" t="inlineStr">
        <is>
          <t>LMT</t>
        </is>
      </c>
      <c r="B73" s="8" t="n">
        <v>10</v>
      </c>
      <c r="C73" s="8" t="n">
        <v>-1.5</v>
      </c>
      <c r="D73" s="5">
        <f>LMT!AI2*(1+B73/100)*(AVERAGE(LMT!AB7:AE7)+C73/100)</f>
        <v/>
      </c>
    </row>
    <row r="74">
      <c r="A74" t="inlineStr">
        <is>
          <t>LMT</t>
        </is>
      </c>
      <c r="B74" s="8" t="n">
        <v>10</v>
      </c>
      <c r="C74" s="8" t="n">
        <v>0</v>
      </c>
      <c r="D74" s="5">
        <f>LMT!AI2*(1+B74/100)*(AVERAGE(LMT!AB7:AE7)+C74/100)</f>
        <v/>
      </c>
    </row>
    <row r="75">
      <c r="A75" t="inlineStr">
        <is>
          <t>LMT</t>
        </is>
      </c>
      <c r="B75" s="8" t="n">
        <v>10</v>
      </c>
      <c r="C75" s="8" t="n">
        <v>1.5</v>
      </c>
      <c r="D75" s="5">
        <f>LMT!AI2*(1+B75/100)*(AVERAGE(LMT!AB7:AE7)+C75/100)</f>
        <v/>
      </c>
    </row>
    <row r="76">
      <c r="A76" t="inlineStr">
        <is>
          <t>LMT</t>
        </is>
      </c>
      <c r="B76" s="8" t="n">
        <v>10</v>
      </c>
      <c r="C76" s="8" t="n">
        <v>3</v>
      </c>
      <c r="D76" s="5">
        <f>LMT!AI2*(1+B76/100)*(AVERAGE(LMT!AB7:AE7)+C76/100)</f>
        <v/>
      </c>
    </row>
    <row r="77">
      <c r="A77" t="inlineStr">
        <is>
          <t>NOC</t>
        </is>
      </c>
      <c r="B77" s="8" t="n">
        <v>-10</v>
      </c>
      <c r="C77" s="8" t="n">
        <v>-3</v>
      </c>
      <c r="D77" s="5">
        <f>NOC!AG2*(1+B77/100)*(AVERAGE(NOC!Z7:AC7)+C77/100)</f>
        <v/>
      </c>
    </row>
    <row r="78">
      <c r="A78" t="inlineStr">
        <is>
          <t>NOC</t>
        </is>
      </c>
      <c r="B78" s="8" t="n">
        <v>-10</v>
      </c>
      <c r="C78" s="8" t="n">
        <v>-1.5</v>
      </c>
      <c r="D78" s="5">
        <f>NOC!AG2*(1+B78/100)*(AVERAGE(NOC!Z7:AC7)+C78/100)</f>
        <v/>
      </c>
    </row>
    <row r="79">
      <c r="A79" t="inlineStr">
        <is>
          <t>NOC</t>
        </is>
      </c>
      <c r="B79" s="8" t="n">
        <v>-10</v>
      </c>
      <c r="C79" s="8" t="n">
        <v>0</v>
      </c>
      <c r="D79" s="5">
        <f>NOC!AG2*(1+B79/100)*(AVERAGE(NOC!Z7:AC7)+C79/100)</f>
        <v/>
      </c>
    </row>
    <row r="80">
      <c r="A80" t="inlineStr">
        <is>
          <t>NOC</t>
        </is>
      </c>
      <c r="B80" s="8" t="n">
        <v>-10</v>
      </c>
      <c r="C80" s="8" t="n">
        <v>1.5</v>
      </c>
      <c r="D80" s="5">
        <f>NOC!AG2*(1+B80/100)*(AVERAGE(NOC!Z7:AC7)+C80/100)</f>
        <v/>
      </c>
    </row>
    <row r="81">
      <c r="A81" t="inlineStr">
        <is>
          <t>NOC</t>
        </is>
      </c>
      <c r="B81" s="8" t="n">
        <v>-10</v>
      </c>
      <c r="C81" s="8" t="n">
        <v>3</v>
      </c>
      <c r="D81" s="5">
        <f>NOC!AG2*(1+B81/100)*(AVERAGE(NOC!Z7:AC7)+C81/100)</f>
        <v/>
      </c>
    </row>
    <row r="82">
      <c r="A82" t="inlineStr">
        <is>
          <t>NOC</t>
        </is>
      </c>
      <c r="B82" s="8" t="n">
        <v>-5</v>
      </c>
      <c r="C82" s="8" t="n">
        <v>-3</v>
      </c>
      <c r="D82" s="5">
        <f>NOC!AG2*(1+B82/100)*(AVERAGE(NOC!Z7:AC7)+C82/100)</f>
        <v/>
      </c>
    </row>
    <row r="83">
      <c r="A83" t="inlineStr">
        <is>
          <t>NOC</t>
        </is>
      </c>
      <c r="B83" s="8" t="n">
        <v>-5</v>
      </c>
      <c r="C83" s="8" t="n">
        <v>-1.5</v>
      </c>
      <c r="D83" s="5">
        <f>NOC!AG2*(1+B83/100)*(AVERAGE(NOC!Z7:AC7)+C83/100)</f>
        <v/>
      </c>
    </row>
    <row r="84">
      <c r="A84" t="inlineStr">
        <is>
          <t>NOC</t>
        </is>
      </c>
      <c r="B84" s="8" t="n">
        <v>-5</v>
      </c>
      <c r="C84" s="8" t="n">
        <v>0</v>
      </c>
      <c r="D84" s="5">
        <f>NOC!AG2*(1+B84/100)*(AVERAGE(NOC!Z7:AC7)+C84/100)</f>
        <v/>
      </c>
    </row>
    <row r="85">
      <c r="A85" t="inlineStr">
        <is>
          <t>NOC</t>
        </is>
      </c>
      <c r="B85" s="8" t="n">
        <v>-5</v>
      </c>
      <c r="C85" s="8" t="n">
        <v>1.5</v>
      </c>
      <c r="D85" s="5">
        <f>NOC!AG2*(1+B85/100)*(AVERAGE(NOC!Z7:AC7)+C85/100)</f>
        <v/>
      </c>
    </row>
    <row r="86">
      <c r="A86" t="inlineStr">
        <is>
          <t>NOC</t>
        </is>
      </c>
      <c r="B86" s="8" t="n">
        <v>-5</v>
      </c>
      <c r="C86" s="8" t="n">
        <v>3</v>
      </c>
      <c r="D86" s="5">
        <f>NOC!AG2*(1+B86/100)*(AVERAGE(NOC!Z7:AC7)+C86/100)</f>
        <v/>
      </c>
    </row>
    <row r="87">
      <c r="A87" t="inlineStr">
        <is>
          <t>NOC</t>
        </is>
      </c>
      <c r="B87" s="8" t="n">
        <v>0</v>
      </c>
      <c r="C87" s="8" t="n">
        <v>-3</v>
      </c>
      <c r="D87" s="5">
        <f>NOC!AG2*(1+B87/100)*(AVERAGE(NOC!Z7:AC7)+C87/100)</f>
        <v/>
      </c>
    </row>
    <row r="88">
      <c r="A88" t="inlineStr">
        <is>
          <t>NOC</t>
        </is>
      </c>
      <c r="B88" s="8" t="n">
        <v>0</v>
      </c>
      <c r="C88" s="8" t="n">
        <v>-1.5</v>
      </c>
      <c r="D88" s="5">
        <f>NOC!AG2*(1+B88/100)*(AVERAGE(NOC!Z7:AC7)+C88/100)</f>
        <v/>
      </c>
    </row>
    <row r="89">
      <c r="A89" t="inlineStr">
        <is>
          <t>NOC</t>
        </is>
      </c>
      <c r="B89" s="8" t="n">
        <v>0</v>
      </c>
      <c r="C89" s="8" t="n">
        <v>0</v>
      </c>
      <c r="D89" s="5">
        <f>NOC!AG2*(1+B89/100)*(AVERAGE(NOC!Z7:AC7)+C89/100)</f>
        <v/>
      </c>
    </row>
    <row r="90">
      <c r="A90" t="inlineStr">
        <is>
          <t>NOC</t>
        </is>
      </c>
      <c r="B90" s="8" t="n">
        <v>0</v>
      </c>
      <c r="C90" s="8" t="n">
        <v>1.5</v>
      </c>
      <c r="D90" s="5">
        <f>NOC!AG2*(1+B90/100)*(AVERAGE(NOC!Z7:AC7)+C90/100)</f>
        <v/>
      </c>
    </row>
    <row r="91">
      <c r="A91" t="inlineStr">
        <is>
          <t>NOC</t>
        </is>
      </c>
      <c r="B91" s="8" t="n">
        <v>0</v>
      </c>
      <c r="C91" s="8" t="n">
        <v>3</v>
      </c>
      <c r="D91" s="5">
        <f>NOC!AG2*(1+B91/100)*(AVERAGE(NOC!Z7:AC7)+C91/100)</f>
        <v/>
      </c>
    </row>
    <row r="92">
      <c r="A92" t="inlineStr">
        <is>
          <t>NOC</t>
        </is>
      </c>
      <c r="B92" s="8" t="n">
        <v>5</v>
      </c>
      <c r="C92" s="8" t="n">
        <v>-3</v>
      </c>
      <c r="D92" s="5">
        <f>NOC!AG2*(1+B92/100)*(AVERAGE(NOC!Z7:AC7)+C92/100)</f>
        <v/>
      </c>
    </row>
    <row r="93">
      <c r="A93" t="inlineStr">
        <is>
          <t>NOC</t>
        </is>
      </c>
      <c r="B93" s="8" t="n">
        <v>5</v>
      </c>
      <c r="C93" s="8" t="n">
        <v>-1.5</v>
      </c>
      <c r="D93" s="5">
        <f>NOC!AG2*(1+B93/100)*(AVERAGE(NOC!Z7:AC7)+C93/100)</f>
        <v/>
      </c>
    </row>
    <row r="94">
      <c r="A94" t="inlineStr">
        <is>
          <t>NOC</t>
        </is>
      </c>
      <c r="B94" s="8" t="n">
        <v>5</v>
      </c>
      <c r="C94" s="8" t="n">
        <v>0</v>
      </c>
      <c r="D94" s="5">
        <f>NOC!AG2*(1+B94/100)*(AVERAGE(NOC!Z7:AC7)+C94/100)</f>
        <v/>
      </c>
    </row>
    <row r="95">
      <c r="A95" t="inlineStr">
        <is>
          <t>NOC</t>
        </is>
      </c>
      <c r="B95" s="8" t="n">
        <v>5</v>
      </c>
      <c r="C95" s="8" t="n">
        <v>1.5</v>
      </c>
      <c r="D95" s="5">
        <f>NOC!AG2*(1+B95/100)*(AVERAGE(NOC!Z7:AC7)+C95/100)</f>
        <v/>
      </c>
    </row>
    <row r="96">
      <c r="A96" t="inlineStr">
        <is>
          <t>NOC</t>
        </is>
      </c>
      <c r="B96" s="8" t="n">
        <v>5</v>
      </c>
      <c r="C96" s="8" t="n">
        <v>3</v>
      </c>
      <c r="D96" s="5">
        <f>NOC!AG2*(1+B96/100)*(AVERAGE(NOC!Z7:AC7)+C96/100)</f>
        <v/>
      </c>
    </row>
    <row r="97">
      <c r="A97" t="inlineStr">
        <is>
          <t>NOC</t>
        </is>
      </c>
      <c r="B97" s="8" t="n">
        <v>10</v>
      </c>
      <c r="C97" s="8" t="n">
        <v>-3</v>
      </c>
      <c r="D97" s="5">
        <f>NOC!AG2*(1+B97/100)*(AVERAGE(NOC!Z7:AC7)+C97/100)</f>
        <v/>
      </c>
    </row>
    <row r="98">
      <c r="A98" t="inlineStr">
        <is>
          <t>NOC</t>
        </is>
      </c>
      <c r="B98" s="8" t="n">
        <v>10</v>
      </c>
      <c r="C98" s="8" t="n">
        <v>-1.5</v>
      </c>
      <c r="D98" s="5">
        <f>NOC!AG2*(1+B98/100)*(AVERAGE(NOC!Z7:AC7)+C98/100)</f>
        <v/>
      </c>
    </row>
    <row r="99">
      <c r="A99" t="inlineStr">
        <is>
          <t>NOC</t>
        </is>
      </c>
      <c r="B99" s="8" t="n">
        <v>10</v>
      </c>
      <c r="C99" s="8" t="n">
        <v>0</v>
      </c>
      <c r="D99" s="5">
        <f>NOC!AG2*(1+B99/100)*(AVERAGE(NOC!Z7:AC7)+C99/100)</f>
        <v/>
      </c>
    </row>
    <row r="100">
      <c r="A100" t="inlineStr">
        <is>
          <t>NOC</t>
        </is>
      </c>
      <c r="B100" s="8" t="n">
        <v>10</v>
      </c>
      <c r="C100" s="8" t="n">
        <v>1.5</v>
      </c>
      <c r="D100" s="5">
        <f>NOC!AG2*(1+B100/100)*(AVERAGE(NOC!Z7:AC7)+C100/100)</f>
        <v/>
      </c>
    </row>
    <row r="101">
      <c r="A101" t="inlineStr">
        <is>
          <t>NOC</t>
        </is>
      </c>
      <c r="B101" s="8" t="n">
        <v>10</v>
      </c>
      <c r="C101" s="8" t="n">
        <v>3</v>
      </c>
      <c r="D101" s="5">
        <f>NOC!AG2*(1+B101/100)*(AVERAGE(NOC!Z7:AC7)+C101/100)</f>
        <v/>
      </c>
    </row>
    <row r="102">
      <c r="A102" t="inlineStr">
        <is>
          <t>RTX</t>
        </is>
      </c>
      <c r="B102" s="8" t="n">
        <v>-10</v>
      </c>
      <c r="C102" s="8" t="n">
        <v>-3</v>
      </c>
      <c r="D102" s="5">
        <f>RTX!Z2*(1+B102/100)*(AVERAGE(RTX!S7:V7)+C102/100)</f>
        <v/>
      </c>
    </row>
    <row r="103">
      <c r="A103" t="inlineStr">
        <is>
          <t>RTX</t>
        </is>
      </c>
      <c r="B103" s="8" t="n">
        <v>-10</v>
      </c>
      <c r="C103" s="8" t="n">
        <v>-1.5</v>
      </c>
      <c r="D103" s="5">
        <f>RTX!Z2*(1+B103/100)*(AVERAGE(RTX!S7:V7)+C103/100)</f>
        <v/>
      </c>
    </row>
    <row r="104">
      <c r="A104" t="inlineStr">
        <is>
          <t>RTX</t>
        </is>
      </c>
      <c r="B104" s="8" t="n">
        <v>-10</v>
      </c>
      <c r="C104" s="8" t="n">
        <v>0</v>
      </c>
      <c r="D104" s="5">
        <f>RTX!Z2*(1+B104/100)*(AVERAGE(RTX!S7:V7)+C104/100)</f>
        <v/>
      </c>
    </row>
    <row r="105">
      <c r="A105" t="inlineStr">
        <is>
          <t>RTX</t>
        </is>
      </c>
      <c r="B105" s="8" t="n">
        <v>-10</v>
      </c>
      <c r="C105" s="8" t="n">
        <v>1.5</v>
      </c>
      <c r="D105" s="5">
        <f>RTX!Z2*(1+B105/100)*(AVERAGE(RTX!S7:V7)+C105/100)</f>
        <v/>
      </c>
    </row>
    <row r="106">
      <c r="A106" t="inlineStr">
        <is>
          <t>RTX</t>
        </is>
      </c>
      <c r="B106" s="8" t="n">
        <v>-10</v>
      </c>
      <c r="C106" s="8" t="n">
        <v>3</v>
      </c>
      <c r="D106" s="5">
        <f>RTX!Z2*(1+B106/100)*(AVERAGE(RTX!S7:V7)+C106/100)</f>
        <v/>
      </c>
    </row>
    <row r="107">
      <c r="A107" t="inlineStr">
        <is>
          <t>RTX</t>
        </is>
      </c>
      <c r="B107" s="8" t="n">
        <v>-5</v>
      </c>
      <c r="C107" s="8" t="n">
        <v>-3</v>
      </c>
      <c r="D107" s="5">
        <f>RTX!Z2*(1+B107/100)*(AVERAGE(RTX!S7:V7)+C107/100)</f>
        <v/>
      </c>
    </row>
    <row r="108">
      <c r="A108" t="inlineStr">
        <is>
          <t>RTX</t>
        </is>
      </c>
      <c r="B108" s="8" t="n">
        <v>-5</v>
      </c>
      <c r="C108" s="8" t="n">
        <v>-1.5</v>
      </c>
      <c r="D108" s="5">
        <f>RTX!Z2*(1+B108/100)*(AVERAGE(RTX!S7:V7)+C108/100)</f>
        <v/>
      </c>
    </row>
    <row r="109">
      <c r="A109" t="inlineStr">
        <is>
          <t>RTX</t>
        </is>
      </c>
      <c r="B109" s="8" t="n">
        <v>-5</v>
      </c>
      <c r="C109" s="8" t="n">
        <v>0</v>
      </c>
      <c r="D109" s="5">
        <f>RTX!Z2*(1+B109/100)*(AVERAGE(RTX!S7:V7)+C109/100)</f>
        <v/>
      </c>
    </row>
    <row r="110">
      <c r="A110" t="inlineStr">
        <is>
          <t>RTX</t>
        </is>
      </c>
      <c r="B110" s="8" t="n">
        <v>-5</v>
      </c>
      <c r="C110" s="8" t="n">
        <v>1.5</v>
      </c>
      <c r="D110" s="5">
        <f>RTX!Z2*(1+B110/100)*(AVERAGE(RTX!S7:V7)+C110/100)</f>
        <v/>
      </c>
    </row>
    <row r="111">
      <c r="A111" t="inlineStr">
        <is>
          <t>RTX</t>
        </is>
      </c>
      <c r="B111" s="8" t="n">
        <v>-5</v>
      </c>
      <c r="C111" s="8" t="n">
        <v>3</v>
      </c>
      <c r="D111" s="5">
        <f>RTX!Z2*(1+B111/100)*(AVERAGE(RTX!S7:V7)+C111/100)</f>
        <v/>
      </c>
    </row>
    <row r="112">
      <c r="A112" t="inlineStr">
        <is>
          <t>RTX</t>
        </is>
      </c>
      <c r="B112" s="8" t="n">
        <v>0</v>
      </c>
      <c r="C112" s="8" t="n">
        <v>-3</v>
      </c>
      <c r="D112" s="5">
        <f>RTX!Z2*(1+B112/100)*(AVERAGE(RTX!S7:V7)+C112/100)</f>
        <v/>
      </c>
    </row>
    <row r="113">
      <c r="A113" t="inlineStr">
        <is>
          <t>RTX</t>
        </is>
      </c>
      <c r="B113" s="8" t="n">
        <v>0</v>
      </c>
      <c r="C113" s="8" t="n">
        <v>-1.5</v>
      </c>
      <c r="D113" s="5">
        <f>RTX!Z2*(1+B113/100)*(AVERAGE(RTX!S7:V7)+C113/100)</f>
        <v/>
      </c>
    </row>
    <row r="114">
      <c r="A114" t="inlineStr">
        <is>
          <t>RTX</t>
        </is>
      </c>
      <c r="B114" s="8" t="n">
        <v>0</v>
      </c>
      <c r="C114" s="8" t="n">
        <v>0</v>
      </c>
      <c r="D114" s="5">
        <f>RTX!Z2*(1+B114/100)*(AVERAGE(RTX!S7:V7)+C114/100)</f>
        <v/>
      </c>
    </row>
    <row r="115">
      <c r="A115" t="inlineStr">
        <is>
          <t>RTX</t>
        </is>
      </c>
      <c r="B115" s="8" t="n">
        <v>0</v>
      </c>
      <c r="C115" s="8" t="n">
        <v>1.5</v>
      </c>
      <c r="D115" s="5">
        <f>RTX!Z2*(1+B115/100)*(AVERAGE(RTX!S7:V7)+C115/100)</f>
        <v/>
      </c>
    </row>
    <row r="116">
      <c r="A116" t="inlineStr">
        <is>
          <t>RTX</t>
        </is>
      </c>
      <c r="B116" s="8" t="n">
        <v>0</v>
      </c>
      <c r="C116" s="8" t="n">
        <v>3</v>
      </c>
      <c r="D116" s="5">
        <f>RTX!Z2*(1+B116/100)*(AVERAGE(RTX!S7:V7)+C116/100)</f>
        <v/>
      </c>
    </row>
    <row r="117">
      <c r="A117" t="inlineStr">
        <is>
          <t>RTX</t>
        </is>
      </c>
      <c r="B117" s="8" t="n">
        <v>5</v>
      </c>
      <c r="C117" s="8" t="n">
        <v>-3</v>
      </c>
      <c r="D117" s="5">
        <f>RTX!Z2*(1+B117/100)*(AVERAGE(RTX!S7:V7)+C117/100)</f>
        <v/>
      </c>
    </row>
    <row r="118">
      <c r="A118" t="inlineStr">
        <is>
          <t>RTX</t>
        </is>
      </c>
      <c r="B118" s="8" t="n">
        <v>5</v>
      </c>
      <c r="C118" s="8" t="n">
        <v>-1.5</v>
      </c>
      <c r="D118" s="5">
        <f>RTX!Z2*(1+B118/100)*(AVERAGE(RTX!S7:V7)+C118/100)</f>
        <v/>
      </c>
    </row>
    <row r="119">
      <c r="A119" t="inlineStr">
        <is>
          <t>RTX</t>
        </is>
      </c>
      <c r="B119" s="8" t="n">
        <v>5</v>
      </c>
      <c r="C119" s="8" t="n">
        <v>0</v>
      </c>
      <c r="D119" s="5">
        <f>RTX!Z2*(1+B119/100)*(AVERAGE(RTX!S7:V7)+C119/100)</f>
        <v/>
      </c>
    </row>
    <row r="120">
      <c r="A120" t="inlineStr">
        <is>
          <t>RTX</t>
        </is>
      </c>
      <c r="B120" s="8" t="n">
        <v>5</v>
      </c>
      <c r="C120" s="8" t="n">
        <v>1.5</v>
      </c>
      <c r="D120" s="5">
        <f>RTX!Z2*(1+B120/100)*(AVERAGE(RTX!S7:V7)+C120/100)</f>
        <v/>
      </c>
    </row>
    <row r="121">
      <c r="A121" t="inlineStr">
        <is>
          <t>RTX</t>
        </is>
      </c>
      <c r="B121" s="8" t="n">
        <v>5</v>
      </c>
      <c r="C121" s="8" t="n">
        <v>3</v>
      </c>
      <c r="D121" s="5">
        <f>RTX!Z2*(1+B121/100)*(AVERAGE(RTX!S7:V7)+C121/100)</f>
        <v/>
      </c>
    </row>
    <row r="122">
      <c r="A122" t="inlineStr">
        <is>
          <t>RTX</t>
        </is>
      </c>
      <c r="B122" s="8" t="n">
        <v>10</v>
      </c>
      <c r="C122" s="8" t="n">
        <v>-3</v>
      </c>
      <c r="D122" s="5">
        <f>RTX!Z2*(1+B122/100)*(AVERAGE(RTX!S7:V7)+C122/100)</f>
        <v/>
      </c>
    </row>
    <row r="123">
      <c r="A123" t="inlineStr">
        <is>
          <t>RTX</t>
        </is>
      </c>
      <c r="B123" s="8" t="n">
        <v>10</v>
      </c>
      <c r="C123" s="8" t="n">
        <v>-1.5</v>
      </c>
      <c r="D123" s="5">
        <f>RTX!Z2*(1+B123/100)*(AVERAGE(RTX!S7:V7)+C123/100)</f>
        <v/>
      </c>
    </row>
    <row r="124">
      <c r="A124" t="inlineStr">
        <is>
          <t>RTX</t>
        </is>
      </c>
      <c r="B124" s="8" t="n">
        <v>10</v>
      </c>
      <c r="C124" s="8" t="n">
        <v>0</v>
      </c>
      <c r="D124" s="5">
        <f>RTX!Z2*(1+B124/100)*(AVERAGE(RTX!S7:V7)+C124/100)</f>
        <v/>
      </c>
    </row>
    <row r="125">
      <c r="A125" t="inlineStr">
        <is>
          <t>RTX</t>
        </is>
      </c>
      <c r="B125" s="8" t="n">
        <v>10</v>
      </c>
      <c r="C125" s="8" t="n">
        <v>1.5</v>
      </c>
      <c r="D125" s="5">
        <f>RTX!Z2*(1+B125/100)*(AVERAGE(RTX!S7:V7)+C125/100)</f>
        <v/>
      </c>
    </row>
    <row r="126">
      <c r="A126" t="inlineStr">
        <is>
          <t>RTX</t>
        </is>
      </c>
      <c r="B126" s="8" t="n">
        <v>10</v>
      </c>
      <c r="C126" s="8" t="n">
        <v>3</v>
      </c>
      <c r="D126" s="5">
        <f>RTX!Z2*(1+B126/100)*(AVERAGE(RTX!S7:V7)+C126/100)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Metric</t>
        </is>
      </c>
      <c r="B1" s="1" t="inlineStr">
        <is>
          <t>ALL</t>
        </is>
      </c>
      <c r="C1" s="1" t="inlineStr">
        <is>
          <t>HII</t>
        </is>
      </c>
      <c r="D1" s="1" t="inlineStr">
        <is>
          <t>LHX</t>
        </is>
      </c>
      <c r="E1" s="1" t="inlineStr">
        <is>
          <t>LMT</t>
        </is>
      </c>
      <c r="F1" s="1" t="inlineStr">
        <is>
          <t>NOC</t>
        </is>
      </c>
      <c r="G1" s="1" t="inlineStr">
        <is>
          <t>RTX</t>
        </is>
      </c>
    </row>
    <row r="2">
      <c r="A2" t="inlineStr">
        <is>
          <t>MAPE H1 backlog</t>
        </is>
      </c>
      <c r="B2" s="7">
        <f>AVERAGE(HII!B11:AI11,LHX!B11:AA11,LMT!B11:AI11,NOC!B11:AG11,RTX!B11:Z11)</f>
        <v/>
      </c>
      <c r="C2" s="7">
        <f>AVERAGE(HII!B11:AI11)</f>
        <v/>
      </c>
      <c r="D2" s="7">
        <f>AVERAGE(LHX!B11:AA11)</f>
        <v/>
      </c>
      <c r="E2" s="7">
        <f>AVERAGE(LMT!B11:AI11)</f>
        <v/>
      </c>
      <c r="F2" s="7">
        <f>AVERAGE(NOC!B11:AG11)</f>
        <v/>
      </c>
      <c r="G2" s="7">
        <f>AVERAGE(RTX!B11:Z11)</f>
        <v/>
      </c>
    </row>
    <row r="3">
      <c r="A3" t="inlineStr">
        <is>
          <t>MAPE H1 seasonal naive</t>
        </is>
      </c>
      <c r="B3" s="7">
        <f>AVERAGE(HII!B12:AI12,LHX!B12:AA12,LMT!B12:AI12,NOC!B12:AG12,RTX!B12:Z12)</f>
        <v/>
      </c>
      <c r="C3" s="7">
        <f>AVERAGE(HII!B12:AI12)</f>
        <v/>
      </c>
      <c r="D3" s="7">
        <f>AVERAGE(LHX!B12:AA12)</f>
        <v/>
      </c>
      <c r="E3" s="7">
        <f>AVERAGE(LMT!B12:AI12)</f>
        <v/>
      </c>
      <c r="F3" s="7">
        <f>AVERAGE(NOC!B12:AG12)</f>
        <v/>
      </c>
      <c r="G3" s="7">
        <f>AVERAGE(RTX!B12:Z12)</f>
        <v/>
      </c>
    </row>
    <row r="4">
      <c r="A4" t="inlineStr">
        <is>
          <t>MAPE H1 naive with drift</t>
        </is>
      </c>
      <c r="B4" s="7">
        <f>AVERAGE(HII!B13:AI13,LHX!B13:AA13,LMT!B13:AI13,NOC!B13:AG13,RTX!B13:Z13)</f>
        <v/>
      </c>
      <c r="C4" s="7">
        <f>AVERAGE(HII!B13:AI13)</f>
        <v/>
      </c>
      <c r="D4" s="7">
        <f>AVERAGE(LHX!B13:AA13)</f>
        <v/>
      </c>
      <c r="E4" s="7">
        <f>AVERAGE(LMT!B13:AI13)</f>
        <v/>
      </c>
      <c r="F4" s="7">
        <f>AVERAGE(NOC!B13:AG13)</f>
        <v/>
      </c>
      <c r="G4" s="7">
        <f>AVERAGE(RTX!B13:Z13)</f>
        <v/>
      </c>
    </row>
    <row r="5">
      <c r="A5" t="inlineStr">
        <is>
          <t>MAPE H4 backlog</t>
        </is>
      </c>
      <c r="B5" s="7">
        <f>AVERAGE(HII!B18:AI18,LHX!B18:AA18,LMT!B18:AI18,NOC!B18:AG18,RTX!B18:Z18)</f>
        <v/>
      </c>
      <c r="C5" s="7">
        <f>AVERAGE(HII!B18:AI18)</f>
        <v/>
      </c>
      <c r="D5" s="7">
        <f>AVERAGE(LHX!B18:AA18)</f>
        <v/>
      </c>
      <c r="E5" s="7">
        <f>AVERAGE(LMT!B18:AI18)</f>
        <v/>
      </c>
      <c r="F5" s="7">
        <f>AVERAGE(NOC!B18:AG18)</f>
        <v/>
      </c>
      <c r="G5" s="7">
        <f>AVERAGE(RTX!B18:Z18)</f>
        <v/>
      </c>
    </row>
    <row r="6">
      <c r="A6" t="inlineStr">
        <is>
          <t>MAPE H4 trailing 4Q</t>
        </is>
      </c>
      <c r="B6" s="7">
        <f>AVERAGE(HII!B19:AI19,LHX!B19:AA19,LMT!B19:AI19,NOC!B19:AG19,RTX!B19:Z19)</f>
        <v/>
      </c>
      <c r="C6" s="7">
        <f>AVERAGE(HII!B19:AI19)</f>
        <v/>
      </c>
      <c r="D6" s="7">
        <f>AVERAGE(LHX!B19:AA19)</f>
        <v/>
      </c>
      <c r="E6" s="7">
        <f>AVERAGE(LMT!B19:AI19)</f>
        <v/>
      </c>
      <c r="F6" s="7">
        <f>AVERAGE(NOC!B19:AG19)</f>
        <v/>
      </c>
      <c r="G6" s="7">
        <f>AVERAGE(RTX!B19:Z19)</f>
        <v/>
      </c>
    </row>
    <row r="7">
      <c r="A7" t="inlineStr">
        <is>
          <t>MAPE H4 trailing 4Q with drift</t>
        </is>
      </c>
      <c r="B7" s="7">
        <f>AVERAGE(HII!B20:AI20,LHX!B20:AA20,LMT!B20:AI20,NOC!B20:AG20,RTX!B20:Z20)</f>
        <v/>
      </c>
      <c r="C7" s="7">
        <f>AVERAGE(HII!B20:AI20)</f>
        <v/>
      </c>
      <c r="D7" s="7">
        <f>AVERAGE(LHX!B20:AA20)</f>
        <v/>
      </c>
      <c r="E7" s="7">
        <f>AVERAGE(LMT!B20:AI20)</f>
        <v/>
      </c>
      <c r="F7" s="7">
        <f>AVERAGE(NOC!B20:AG20)</f>
        <v/>
      </c>
      <c r="G7" s="7">
        <f>AVERAGE(RTX!B20:Z20)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2026-10-13T00:00:00Z</dcterms:created>
  <dcterms:modified xsi:type="dcterms:W3CDTF">2026-10-13T00:00:00Z</dcterms:modified>
</cp:coreProperties>
</file>